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4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morris/Documents/Architrino/Excel/"/>
    </mc:Choice>
  </mc:AlternateContent>
  <xr:revisionPtr revIDLastSave="0" documentId="13_ncr:1_{D8CB6172-A830-DA47-8285-B695B8668280}" xr6:coauthVersionLast="47" xr6:coauthVersionMax="47" xr10:uidLastSave="{00000000-0000-0000-0000-000000000000}"/>
  <bookViews>
    <workbookView xWindow="0" yWindow="680" windowWidth="34200" windowHeight="21460" xr2:uid="{C693A79A-AC46-E54D-9116-D150A4948A67}"/>
  </bookViews>
  <sheets>
    <sheet name="Constants and Formulas" sheetId="3" r:id="rId1"/>
    <sheet name="Planck Energy" sheetId="24" r:id="rId2"/>
    <sheet name="Velocity" sheetId="5" r:id="rId3"/>
    <sheet name="Lorentz" sheetId="6" r:id="rId4"/>
    <sheet name="Black Hole Core Mass" sheetId="8" r:id="rId5"/>
    <sheet name="Graphene" sheetId="10" r:id="rId6"/>
    <sheet name="e mu tau" sheetId="15" r:id="rId7"/>
    <sheet name="mixing angles" sheetId="13" r:id="rId8"/>
    <sheet name="u c t" sheetId="16" r:id="rId9"/>
    <sheet name="d s b" sheetId="17" r:id="rId10"/>
    <sheet name="Apparent and Shielded Energy" sheetId="14" r:id="rId11"/>
    <sheet name="dipole radius" sheetId="18" r:id="rId12"/>
    <sheet name="fsc" sheetId="19" r:id="rId13"/>
    <sheet name="Sheet1" sheetId="20" r:id="rId14"/>
    <sheet name="Chart1" sheetId="22" r:id="rId15"/>
    <sheet name="charges per x" sheetId="21" r:id="rId16"/>
    <sheet name="unit tridipole ideas" sheetId="26" r:id="rId17"/>
    <sheet name="spacetime apparent energy" sheetId="27" r:id="rId18"/>
    <sheet name="stdmodelmusings-a" sheetId="28" r:id="rId19"/>
    <sheet name="stdmodelmusings-b" sheetId="29" r:id="rId20"/>
  </sheets>
  <definedNames>
    <definedName name="c_">'Constants and Formulas'!$C$4</definedName>
    <definedName name="E">'Constants and Formulas'!$C$12</definedName>
    <definedName name="E0">'Constants and Formulas'!$C$10</definedName>
    <definedName name="Ep">'Constants and Formulas'!$C$19</definedName>
    <definedName name="evperj">'Constants and Formulas'!$C$29</definedName>
    <definedName name="Fp">'Constants and Formulas'!$C$25</definedName>
    <definedName name="fsc">'Constants and Formulas'!$C$14</definedName>
    <definedName name="G">'Constants and Formulas'!$C$5</definedName>
    <definedName name="h">'Constants and Formulas'!$C$6</definedName>
    <definedName name="hbar">'Constants and Formulas'!$C$7</definedName>
    <definedName name="kB">'Constants and Formulas'!$C$8</definedName>
    <definedName name="Ke">'Constants and Formulas'!$C$9</definedName>
    <definedName name="Lp">'Constants and Formulas'!$C$18</definedName>
    <definedName name="M">#REF!</definedName>
    <definedName name="Mp">'Constants and Formulas'!$C$20</definedName>
    <definedName name="Ms">'Black Hole Core Mass'!$C$11</definedName>
    <definedName name="Op">'Constants and Formulas'!$C$22</definedName>
    <definedName name="sqrtthreeeight">#REF!</definedName>
    <definedName name="sqthreeeight">#REF!</definedName>
    <definedName name="Tp">'Constants and Formulas'!$C$21</definedName>
    <definedName name="u0">'Constants and Formulas'!$C$11</definedName>
    <definedName name="Wp">'Constants and Formulas'!$C$24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8" l="1"/>
  <c r="B6" i="28"/>
  <c r="B7" i="28"/>
  <c r="B8" i="28"/>
  <c r="B9" i="28"/>
  <c r="B10" i="28"/>
  <c r="B11" i="28"/>
  <c r="B12" i="28"/>
  <c r="B13" i="28"/>
  <c r="B14" i="28"/>
  <c r="B16" i="28"/>
  <c r="B18" i="28"/>
  <c r="B19" i="28"/>
  <c r="B20" i="28"/>
  <c r="B21" i="28"/>
  <c r="B22" i="28"/>
  <c r="B23" i="28"/>
  <c r="B24" i="28"/>
  <c r="B26" i="28"/>
  <c r="B27" i="28"/>
  <c r="B28" i="28"/>
  <c r="B29" i="28"/>
  <c r="B30" i="28"/>
  <c r="B31" i="28"/>
  <c r="B32" i="28"/>
  <c r="B34" i="28"/>
  <c r="B36" i="28"/>
  <c r="B37" i="28"/>
  <c r="B38" i="28"/>
  <c r="B39" i="28"/>
  <c r="B40" i="28"/>
  <c r="B41" i="28"/>
  <c r="B42" i="28"/>
  <c r="B43" i="28"/>
  <c r="B44" i="28"/>
  <c r="B45" i="28"/>
  <c r="C3" i="27"/>
  <c r="D3" i="27"/>
  <c r="E3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C4" i="27"/>
  <c r="D4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C5" i="27"/>
  <c r="D5" i="27"/>
  <c r="E5" i="27"/>
  <c r="F5" i="27"/>
  <c r="G5" i="27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C6" i="27"/>
  <c r="D6" i="27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C7" i="27"/>
  <c r="D7" i="27"/>
  <c r="E7" i="27"/>
  <c r="F7" i="27"/>
  <c r="G7" i="27"/>
  <c r="H7" i="27"/>
  <c r="I7" i="27"/>
  <c r="J7" i="27"/>
  <c r="K7" i="27"/>
  <c r="L7" i="27"/>
  <c r="M7" i="27"/>
  <c r="N7" i="27"/>
  <c r="O7" i="27"/>
  <c r="P7" i="27"/>
  <c r="Q7" i="27"/>
  <c r="R7" i="27"/>
  <c r="S7" i="27"/>
  <c r="T7" i="27"/>
  <c r="U7" i="27"/>
  <c r="C8" i="27"/>
  <c r="D8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C9" i="27"/>
  <c r="D9" i="27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C10" i="27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C11" i="27"/>
  <c r="D11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U11" i="27"/>
  <c r="C12" i="27"/>
  <c r="D12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S12" i="27"/>
  <c r="T12" i="27"/>
  <c r="U12" i="27"/>
  <c r="C13" i="27"/>
  <c r="D13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Q13" i="27"/>
  <c r="R13" i="27"/>
  <c r="S13" i="27"/>
  <c r="T13" i="27"/>
  <c r="U13" i="27"/>
  <c r="C14" i="27"/>
  <c r="D14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Q14" i="27"/>
  <c r="R14" i="27"/>
  <c r="S14" i="27"/>
  <c r="T14" i="27"/>
  <c r="U14" i="27"/>
  <c r="C15" i="27"/>
  <c r="D15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Q15" i="27"/>
  <c r="R15" i="27"/>
  <c r="S15" i="27"/>
  <c r="T15" i="27"/>
  <c r="U15" i="27"/>
  <c r="C16" i="27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U17" i="27"/>
  <c r="C18" i="27"/>
  <c r="D18" i="27"/>
  <c r="E18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U18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3" i="27"/>
  <c r="C31" i="26"/>
  <c r="D31" i="26"/>
  <c r="E31" i="26"/>
  <c r="F31" i="26"/>
  <c r="G31" i="26"/>
  <c r="H31" i="26"/>
  <c r="C32" i="26"/>
  <c r="D32" i="26"/>
  <c r="E32" i="26"/>
  <c r="F32" i="26"/>
  <c r="G32" i="26"/>
  <c r="H32" i="26"/>
  <c r="C33" i="26"/>
  <c r="D33" i="26"/>
  <c r="E33" i="26"/>
  <c r="F33" i="26"/>
  <c r="G33" i="26"/>
  <c r="H33" i="26"/>
  <c r="C34" i="26"/>
  <c r="D34" i="26"/>
  <c r="E34" i="26"/>
  <c r="F34" i="26"/>
  <c r="G34" i="26"/>
  <c r="H34" i="26"/>
  <c r="C35" i="26"/>
  <c r="D35" i="26"/>
  <c r="E35" i="26"/>
  <c r="F35" i="26"/>
  <c r="G35" i="26"/>
  <c r="H35" i="26"/>
  <c r="C36" i="26"/>
  <c r="D36" i="26"/>
  <c r="E36" i="26"/>
  <c r="F36" i="26"/>
  <c r="G36" i="26"/>
  <c r="H36" i="26"/>
  <c r="C37" i="26"/>
  <c r="D37" i="26"/>
  <c r="E37" i="26"/>
  <c r="F37" i="26"/>
  <c r="G37" i="26"/>
  <c r="H37" i="26"/>
  <c r="C38" i="26"/>
  <c r="D38" i="26"/>
  <c r="E38" i="26"/>
  <c r="F38" i="26"/>
  <c r="G38" i="26"/>
  <c r="H38" i="26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2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21" i="18"/>
  <c r="C25" i="24"/>
  <c r="C13" i="24"/>
  <c r="C18" i="21"/>
  <c r="C30" i="21"/>
  <c r="C42" i="21"/>
  <c r="C6" i="21"/>
  <c r="F8" i="21"/>
  <c r="C8" i="21" s="1"/>
  <c r="G8" i="21"/>
  <c r="F9" i="21"/>
  <c r="C9" i="21" s="1"/>
  <c r="G9" i="21"/>
  <c r="F10" i="21"/>
  <c r="C10" i="21" s="1"/>
  <c r="G10" i="21"/>
  <c r="F11" i="21"/>
  <c r="C11" i="21" s="1"/>
  <c r="G11" i="21"/>
  <c r="F12" i="21"/>
  <c r="C12" i="21" s="1"/>
  <c r="G12" i="21"/>
  <c r="F13" i="21"/>
  <c r="C13" i="21" s="1"/>
  <c r="G13" i="21"/>
  <c r="F14" i="21"/>
  <c r="C14" i="21" s="1"/>
  <c r="G14" i="21"/>
  <c r="F15" i="21"/>
  <c r="C15" i="21" s="1"/>
  <c r="G15" i="21"/>
  <c r="F16" i="21"/>
  <c r="C16" i="21" s="1"/>
  <c r="G16" i="21"/>
  <c r="F17" i="21"/>
  <c r="C17" i="21" s="1"/>
  <c r="G17" i="21"/>
  <c r="F18" i="21"/>
  <c r="G18" i="21"/>
  <c r="F19" i="21"/>
  <c r="C19" i="21" s="1"/>
  <c r="G19" i="21"/>
  <c r="F20" i="21"/>
  <c r="C20" i="21" s="1"/>
  <c r="G20" i="21"/>
  <c r="F21" i="21"/>
  <c r="C21" i="21" s="1"/>
  <c r="G21" i="21"/>
  <c r="F22" i="21"/>
  <c r="C22" i="21" s="1"/>
  <c r="G22" i="21"/>
  <c r="F23" i="21"/>
  <c r="C23" i="21" s="1"/>
  <c r="G23" i="21"/>
  <c r="F24" i="21"/>
  <c r="C24" i="21" s="1"/>
  <c r="G24" i="21"/>
  <c r="F25" i="21"/>
  <c r="C25" i="21" s="1"/>
  <c r="G25" i="21"/>
  <c r="F26" i="21"/>
  <c r="C26" i="21" s="1"/>
  <c r="G26" i="21"/>
  <c r="F27" i="21"/>
  <c r="C27" i="21" s="1"/>
  <c r="G27" i="21"/>
  <c r="F28" i="21"/>
  <c r="C28" i="21" s="1"/>
  <c r="G28" i="21"/>
  <c r="F29" i="21"/>
  <c r="C29" i="21" s="1"/>
  <c r="G29" i="21"/>
  <c r="F30" i="21"/>
  <c r="G30" i="21"/>
  <c r="F31" i="21"/>
  <c r="C31" i="21" s="1"/>
  <c r="G31" i="21"/>
  <c r="F32" i="21"/>
  <c r="C32" i="21" s="1"/>
  <c r="G32" i="21"/>
  <c r="F33" i="21"/>
  <c r="C33" i="21" s="1"/>
  <c r="G33" i="21"/>
  <c r="F34" i="21"/>
  <c r="C34" i="21" s="1"/>
  <c r="G34" i="21"/>
  <c r="F35" i="21"/>
  <c r="C35" i="21" s="1"/>
  <c r="G35" i="21"/>
  <c r="F36" i="21"/>
  <c r="C36" i="21" s="1"/>
  <c r="G36" i="21"/>
  <c r="F37" i="21"/>
  <c r="C37" i="21" s="1"/>
  <c r="G37" i="21"/>
  <c r="F38" i="21"/>
  <c r="C38" i="21" s="1"/>
  <c r="G38" i="21"/>
  <c r="F39" i="21"/>
  <c r="C39" i="21" s="1"/>
  <c r="G39" i="21"/>
  <c r="F40" i="21"/>
  <c r="C40" i="21" s="1"/>
  <c r="G40" i="21"/>
  <c r="F41" i="21"/>
  <c r="C41" i="21" s="1"/>
  <c r="G41" i="21"/>
  <c r="F42" i="21"/>
  <c r="G42" i="21"/>
  <c r="F43" i="21"/>
  <c r="C43" i="21" s="1"/>
  <c r="G43" i="21"/>
  <c r="F44" i="21"/>
  <c r="C44" i="21" s="1"/>
  <c r="G44" i="21"/>
  <c r="F45" i="21"/>
  <c r="C45" i="21" s="1"/>
  <c r="G45" i="21"/>
  <c r="F46" i="21"/>
  <c r="C46" i="21" s="1"/>
  <c r="G46" i="21"/>
  <c r="F47" i="21"/>
  <c r="C47" i="21" s="1"/>
  <c r="G47" i="21"/>
  <c r="G7" i="21"/>
  <c r="F7" i="21"/>
  <c r="C7" i="21" s="1"/>
  <c r="D2" i="20"/>
  <c r="F18" i="20"/>
  <c r="D3" i="20"/>
  <c r="D8" i="20"/>
  <c r="F9" i="20"/>
  <c r="C10" i="20"/>
  <c r="G39" i="19"/>
  <c r="C19" i="19"/>
  <c r="D19" i="19" s="1"/>
  <c r="E19" i="19" s="1"/>
  <c r="F19" i="19" s="1"/>
  <c r="C20" i="19"/>
  <c r="D20" i="19" s="1"/>
  <c r="E20" i="19" s="1"/>
  <c r="F20" i="19" s="1"/>
  <c r="C21" i="19"/>
  <c r="D21" i="19" s="1"/>
  <c r="C22" i="19"/>
  <c r="D22" i="19"/>
  <c r="E22" i="19" s="1"/>
  <c r="F22" i="19" s="1"/>
  <c r="C23" i="19"/>
  <c r="D23" i="19" s="1"/>
  <c r="E23" i="19" s="1"/>
  <c r="F23" i="19" s="1"/>
  <c r="C24" i="19"/>
  <c r="D24" i="19" s="1"/>
  <c r="C25" i="19"/>
  <c r="D25" i="19" s="1"/>
  <c r="E25" i="19" s="1"/>
  <c r="F25" i="19" s="1"/>
  <c r="C26" i="19"/>
  <c r="D26" i="19" s="1"/>
  <c r="E26" i="19" s="1"/>
  <c r="F26" i="19" s="1"/>
  <c r="C27" i="19"/>
  <c r="D27" i="19" s="1"/>
  <c r="C28" i="19"/>
  <c r="D28" i="19"/>
  <c r="E28" i="19" s="1"/>
  <c r="F28" i="19" s="1"/>
  <c r="C29" i="19"/>
  <c r="D29" i="19" s="1"/>
  <c r="E29" i="19" s="1"/>
  <c r="F29" i="19" s="1"/>
  <c r="C30" i="19"/>
  <c r="D30" i="19" s="1"/>
  <c r="E30" i="19" s="1"/>
  <c r="F30" i="19" s="1"/>
  <c r="C31" i="19"/>
  <c r="D31" i="19" s="1"/>
  <c r="E31" i="19" s="1"/>
  <c r="F31" i="19" s="1"/>
  <c r="C32" i="19"/>
  <c r="D32" i="19" s="1"/>
  <c r="C33" i="19"/>
  <c r="D33" i="19" s="1"/>
  <c r="E33" i="19" s="1"/>
  <c r="F33" i="19" s="1"/>
  <c r="C34" i="19"/>
  <c r="D34" i="19" s="1"/>
  <c r="E34" i="19" s="1"/>
  <c r="F34" i="19" s="1"/>
  <c r="C35" i="19"/>
  <c r="D35" i="19" s="1"/>
  <c r="C36" i="19"/>
  <c r="D36" i="19"/>
  <c r="E36" i="19" s="1"/>
  <c r="F36" i="19" s="1"/>
  <c r="C37" i="19"/>
  <c r="D37" i="19" s="1"/>
  <c r="E37" i="19" s="1"/>
  <c r="F37" i="19" s="1"/>
  <c r="C38" i="19"/>
  <c r="D38" i="19" s="1"/>
  <c r="C39" i="19"/>
  <c r="D39" i="19" s="1"/>
  <c r="C40" i="19"/>
  <c r="D40" i="19"/>
  <c r="E40" i="19" s="1"/>
  <c r="F40" i="19" s="1"/>
  <c r="C41" i="19"/>
  <c r="D41" i="19" s="1"/>
  <c r="E41" i="19" s="1"/>
  <c r="F41" i="19" s="1"/>
  <c r="C42" i="19"/>
  <c r="D42" i="19" s="1"/>
  <c r="E42" i="19" s="1"/>
  <c r="F42" i="19" s="1"/>
  <c r="C43" i="19"/>
  <c r="D43" i="19" s="1"/>
  <c r="E43" i="19" s="1"/>
  <c r="F43" i="19" s="1"/>
  <c r="C11" i="19"/>
  <c r="C12" i="19"/>
  <c r="C13" i="19"/>
  <c r="D13" i="19" s="1"/>
  <c r="C14" i="19"/>
  <c r="C15" i="19"/>
  <c r="D15" i="19" s="1"/>
  <c r="C16" i="19"/>
  <c r="D16" i="19" s="1"/>
  <c r="C17" i="19"/>
  <c r="D17" i="19" s="1"/>
  <c r="C18" i="19"/>
  <c r="D18" i="19" s="1"/>
  <c r="C10" i="19"/>
  <c r="D10" i="19" s="1"/>
  <c r="E10" i="19" s="1"/>
  <c r="F10" i="19" s="1"/>
  <c r="C23" i="18"/>
  <c r="D23" i="18" s="1"/>
  <c r="B22" i="18"/>
  <c r="D22" i="18"/>
  <c r="E22" i="18"/>
  <c r="C21" i="18"/>
  <c r="D21" i="18" s="1"/>
  <c r="E21" i="14"/>
  <c r="F21" i="14"/>
  <c r="D21" i="14"/>
  <c r="E17" i="14"/>
  <c r="F17" i="14"/>
  <c r="D17" i="14"/>
  <c r="D25" i="14" s="1"/>
  <c r="H9" i="14"/>
  <c r="G9" i="14"/>
  <c r="H13" i="14"/>
  <c r="G13" i="14"/>
  <c r="H5" i="14"/>
  <c r="H25" i="14" s="1"/>
  <c r="G5" i="14"/>
  <c r="G8" i="13"/>
  <c r="G9" i="13"/>
  <c r="G7" i="13"/>
  <c r="F8" i="13"/>
  <c r="F9" i="13"/>
  <c r="F7" i="13"/>
  <c r="E8" i="13"/>
  <c r="E9" i="13"/>
  <c r="E7" i="13"/>
  <c r="D9" i="13"/>
  <c r="D8" i="13"/>
  <c r="D7" i="13"/>
  <c r="C29" i="10"/>
  <c r="C27" i="10"/>
  <c r="C25" i="10"/>
  <c r="C24" i="10"/>
  <c r="C20" i="10"/>
  <c r="D18" i="10"/>
  <c r="C15" i="10"/>
  <c r="D11" i="10"/>
  <c r="D6" i="10"/>
  <c r="D7" i="10"/>
  <c r="D8" i="10"/>
  <c r="D9" i="10"/>
  <c r="D10" i="10"/>
  <c r="D5" i="10"/>
  <c r="C24" i="18" l="1"/>
  <c r="E23" i="18"/>
  <c r="B23" i="18"/>
  <c r="E21" i="18"/>
  <c r="C48" i="21"/>
  <c r="D10" i="20"/>
  <c r="E10" i="20"/>
  <c r="F10" i="20" s="1"/>
  <c r="F16" i="20" s="1"/>
  <c r="F17" i="20" s="1"/>
  <c r="E18" i="19"/>
  <c r="F18" i="19" s="1"/>
  <c r="E32" i="19"/>
  <c r="F32" i="19" s="1"/>
  <c r="E38" i="19"/>
  <c r="F38" i="19" s="1"/>
  <c r="E27" i="19"/>
  <c r="F27" i="19" s="1"/>
  <c r="E35" i="19"/>
  <c r="F35" i="19" s="1"/>
  <c r="E39" i="19"/>
  <c r="F39" i="19" s="1"/>
  <c r="E24" i="19"/>
  <c r="F24" i="19" s="1"/>
  <c r="E21" i="19"/>
  <c r="F21" i="19" s="1"/>
  <c r="E16" i="19"/>
  <c r="F16" i="19" s="1"/>
  <c r="E17" i="19"/>
  <c r="F17" i="19" s="1"/>
  <c r="D14" i="19"/>
  <c r="E14" i="19" s="1"/>
  <c r="F14" i="19" s="1"/>
  <c r="E15" i="19"/>
  <c r="F15" i="19" s="1"/>
  <c r="D12" i="19"/>
  <c r="E12" i="19" s="1"/>
  <c r="F12" i="19" s="1"/>
  <c r="D11" i="19"/>
  <c r="E11" i="19" s="1"/>
  <c r="F11" i="19" s="1"/>
  <c r="E13" i="19"/>
  <c r="F13" i="19" s="1"/>
  <c r="F25" i="14"/>
  <c r="E25" i="14"/>
  <c r="G17" i="14"/>
  <c r="G21" i="14"/>
  <c r="J21" i="14" s="1"/>
  <c r="I17" i="14"/>
  <c r="J17" i="14"/>
  <c r="I21" i="14"/>
  <c r="I13" i="14"/>
  <c r="I9" i="14"/>
  <c r="I5" i="14"/>
  <c r="D30" i="8"/>
  <c r="D31" i="8"/>
  <c r="D32" i="8"/>
  <c r="D33" i="8"/>
  <c r="D34" i="8"/>
  <c r="D35" i="8"/>
  <c r="D36" i="8"/>
  <c r="D37" i="8"/>
  <c r="D38" i="8"/>
  <c r="D39" i="8"/>
  <c r="D40" i="8"/>
  <c r="D41" i="8"/>
  <c r="D29" i="8"/>
  <c r="G29" i="8" s="1"/>
  <c r="D28" i="8"/>
  <c r="G28" i="8" s="1"/>
  <c r="C11" i="8"/>
  <c r="C29" i="8"/>
  <c r="C30" i="8" s="1"/>
  <c r="B24" i="18" l="1"/>
  <c r="D24" i="18"/>
  <c r="E24" i="18"/>
  <c r="C25" i="18"/>
  <c r="G25" i="14"/>
  <c r="G30" i="8"/>
  <c r="C31" i="8"/>
  <c r="C26" i="18" l="1"/>
  <c r="B25" i="18"/>
  <c r="D25" i="18"/>
  <c r="E25" i="18"/>
  <c r="J25" i="14"/>
  <c r="I25" i="14"/>
  <c r="C32" i="8"/>
  <c r="D48" i="3"/>
  <c r="D47" i="3"/>
  <c r="D46" i="3"/>
  <c r="C7" i="3"/>
  <c r="C24" i="3"/>
  <c r="C25" i="3" s="1"/>
  <c r="C10" i="3"/>
  <c r="C14" i="3" s="1"/>
  <c r="C11" i="3"/>
  <c r="J25" i="3"/>
  <c r="H25" i="3"/>
  <c r="C22" i="3"/>
  <c r="I25" i="3"/>
  <c r="C19" i="3"/>
  <c r="C5" i="24" s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B38" i="6"/>
  <c r="C38" i="6"/>
  <c r="D38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3" i="6"/>
  <c r="C3" i="6"/>
  <c r="B4" i="5"/>
  <c r="B5" i="5"/>
  <c r="B6" i="5"/>
  <c r="B7" i="5"/>
  <c r="B8" i="5"/>
  <c r="B9" i="5"/>
  <c r="B10" i="5"/>
  <c r="B11" i="5"/>
  <c r="B12" i="5"/>
  <c r="B13" i="5"/>
  <c r="B14" i="5"/>
  <c r="B15" i="5"/>
  <c r="B16" i="5"/>
  <c r="C16" i="5"/>
  <c r="G16" i="5"/>
  <c r="B17" i="5"/>
  <c r="C17" i="5"/>
  <c r="G17" i="5"/>
  <c r="B18" i="5"/>
  <c r="C18" i="5"/>
  <c r="G18" i="5"/>
  <c r="B19" i="5"/>
  <c r="C19" i="5"/>
  <c r="G19" i="5"/>
  <c r="B20" i="5"/>
  <c r="C20" i="5"/>
  <c r="G20" i="5"/>
  <c r="B21" i="5"/>
  <c r="C21" i="5"/>
  <c r="G21" i="5"/>
  <c r="B22" i="5"/>
  <c r="C22" i="5"/>
  <c r="G22" i="5"/>
  <c r="B23" i="5"/>
  <c r="C23" i="5"/>
  <c r="G23" i="5"/>
  <c r="B24" i="5"/>
  <c r="C24" i="5"/>
  <c r="G24" i="5"/>
  <c r="B25" i="5"/>
  <c r="C25" i="5"/>
  <c r="G25" i="5"/>
  <c r="B26" i="5"/>
  <c r="C26" i="5"/>
  <c r="G26" i="5"/>
  <c r="B27" i="5"/>
  <c r="C27" i="5"/>
  <c r="G27" i="5"/>
  <c r="B28" i="5"/>
  <c r="C28" i="5"/>
  <c r="G28" i="5"/>
  <c r="B29" i="5"/>
  <c r="C29" i="5"/>
  <c r="G29" i="5"/>
  <c r="B30" i="5"/>
  <c r="C30" i="5"/>
  <c r="G30" i="5"/>
  <c r="B31" i="5"/>
  <c r="C31" i="5"/>
  <c r="G31" i="5"/>
  <c r="C4" i="5"/>
  <c r="G4" i="5"/>
  <c r="C5" i="5"/>
  <c r="G5" i="5"/>
  <c r="C6" i="5"/>
  <c r="G6" i="5"/>
  <c r="C7" i="5"/>
  <c r="G7" i="5"/>
  <c r="C8" i="5"/>
  <c r="G8" i="5"/>
  <c r="C9" i="5"/>
  <c r="G9" i="5"/>
  <c r="C10" i="5"/>
  <c r="G10" i="5"/>
  <c r="C11" i="5"/>
  <c r="G11" i="5"/>
  <c r="C12" i="5"/>
  <c r="G12" i="5"/>
  <c r="C13" i="5"/>
  <c r="G13" i="5"/>
  <c r="C14" i="5"/>
  <c r="G14" i="5"/>
  <c r="C15" i="5"/>
  <c r="G15" i="5"/>
  <c r="C3" i="5"/>
  <c r="G3" i="5"/>
  <c r="D21" i="5"/>
  <c r="D29" i="5"/>
  <c r="D9" i="5"/>
  <c r="J14" i="3"/>
  <c r="I14" i="3"/>
  <c r="C18" i="3"/>
  <c r="I21" i="3" s="1"/>
  <c r="I24" i="3"/>
  <c r="I10" i="3"/>
  <c r="C20" i="3"/>
  <c r="I22" i="3" s="1"/>
  <c r="C21" i="3"/>
  <c r="D28" i="5" l="1"/>
  <c r="D27" i="5"/>
  <c r="D14" i="5"/>
  <c r="D6" i="5"/>
  <c r="D26" i="5"/>
  <c r="D18" i="5"/>
  <c r="D8" i="5"/>
  <c r="D20" i="5"/>
  <c r="D25" i="5"/>
  <c r="D12" i="5"/>
  <c r="D4" i="5"/>
  <c r="D24" i="5"/>
  <c r="D16" i="5"/>
  <c r="D3" i="5"/>
  <c r="D19" i="5"/>
  <c r="D13" i="5"/>
  <c r="D17" i="5"/>
  <c r="D11" i="5"/>
  <c r="D31" i="5"/>
  <c r="D23" i="5"/>
  <c r="D15" i="5"/>
  <c r="D7" i="5"/>
  <c r="D5" i="5"/>
  <c r="D10" i="5"/>
  <c r="D30" i="5"/>
  <c r="D22" i="5"/>
  <c r="I4" i="3"/>
  <c r="I20" i="3"/>
  <c r="D57" i="3"/>
  <c r="J19" i="3"/>
  <c r="C23" i="3"/>
  <c r="C26" i="24"/>
  <c r="C60" i="3"/>
  <c r="C29" i="3"/>
  <c r="I11" i="3"/>
  <c r="I23" i="3"/>
  <c r="A14" i="3"/>
  <c r="J10" i="3"/>
  <c r="I19" i="3"/>
  <c r="J21" i="3"/>
  <c r="C70" i="3"/>
  <c r="H29" i="8"/>
  <c r="I29" i="8" s="1"/>
  <c r="H37" i="8"/>
  <c r="E31" i="8"/>
  <c r="F31" i="8" s="1"/>
  <c r="E39" i="8"/>
  <c r="E33" i="8"/>
  <c r="H32" i="8"/>
  <c r="E28" i="8"/>
  <c r="F28" i="8" s="1"/>
  <c r="L28" i="8" s="1"/>
  <c r="H41" i="8"/>
  <c r="H28" i="8"/>
  <c r="I28" i="8" s="1"/>
  <c r="E37" i="8"/>
  <c r="H30" i="8"/>
  <c r="I30" i="8" s="1"/>
  <c r="H38" i="8"/>
  <c r="E32" i="8"/>
  <c r="E40" i="8"/>
  <c r="H39" i="8"/>
  <c r="E41" i="8"/>
  <c r="E34" i="8"/>
  <c r="E35" i="8"/>
  <c r="H34" i="8"/>
  <c r="H35" i="8"/>
  <c r="H36" i="8"/>
  <c r="H31" i="8"/>
  <c r="H40" i="8"/>
  <c r="H33" i="8"/>
  <c r="E36" i="8"/>
  <c r="E29" i="8"/>
  <c r="F29" i="8" s="1"/>
  <c r="E38" i="8"/>
  <c r="E30" i="8"/>
  <c r="F30" i="8" s="1"/>
  <c r="E20" i="5"/>
  <c r="D26" i="18"/>
  <c r="C27" i="18"/>
  <c r="B26" i="18"/>
  <c r="E26" i="18"/>
  <c r="G31" i="8"/>
  <c r="C33" i="8"/>
  <c r="E22" i="5" l="1"/>
  <c r="E29" i="5"/>
  <c r="E30" i="5"/>
  <c r="E10" i="5"/>
  <c r="E8" i="5"/>
  <c r="J30" i="8"/>
  <c r="L30" i="8"/>
  <c r="C8" i="24"/>
  <c r="C10" i="24" s="1"/>
  <c r="C11" i="24" s="1"/>
  <c r="C15" i="24" s="1"/>
  <c r="F18" i="5"/>
  <c r="F22" i="5"/>
  <c r="F26" i="5"/>
  <c r="F30" i="5"/>
  <c r="F6" i="5"/>
  <c r="F10" i="5"/>
  <c r="F14" i="5"/>
  <c r="E15" i="5"/>
  <c r="K19" i="3"/>
  <c r="F24" i="5"/>
  <c r="E9" i="5"/>
  <c r="E23" i="5"/>
  <c r="E31" i="5"/>
  <c r="F20" i="5"/>
  <c r="E17" i="5"/>
  <c r="E25" i="5"/>
  <c r="E5" i="5"/>
  <c r="E13" i="5"/>
  <c r="F15" i="5"/>
  <c r="F19" i="5"/>
  <c r="F23" i="5"/>
  <c r="F27" i="5"/>
  <c r="F31" i="5"/>
  <c r="F7" i="5"/>
  <c r="F11" i="5"/>
  <c r="F3" i="5"/>
  <c r="E11" i="5"/>
  <c r="F16" i="5"/>
  <c r="F28" i="5"/>
  <c r="F4" i="5"/>
  <c r="F8" i="5"/>
  <c r="F12" i="5"/>
  <c r="E16" i="5"/>
  <c r="E24" i="5"/>
  <c r="E4" i="5"/>
  <c r="E12" i="5"/>
  <c r="F17" i="5"/>
  <c r="F21" i="5"/>
  <c r="F25" i="5"/>
  <c r="F29" i="5"/>
  <c r="F5" i="5"/>
  <c r="F9" i="5"/>
  <c r="F13" i="5"/>
  <c r="E18" i="5"/>
  <c r="E26" i="5"/>
  <c r="E6" i="5"/>
  <c r="E14" i="5"/>
  <c r="E19" i="5"/>
  <c r="E27" i="5"/>
  <c r="E7" i="5"/>
  <c r="E3" i="5"/>
  <c r="E28" i="5"/>
  <c r="I31" i="8"/>
  <c r="J31" i="8" s="1"/>
  <c r="L29" i="8"/>
  <c r="J29" i="8"/>
  <c r="E21" i="5"/>
  <c r="J28" i="8"/>
  <c r="B27" i="18"/>
  <c r="C28" i="18"/>
  <c r="D27" i="18"/>
  <c r="E27" i="18"/>
  <c r="G32" i="8"/>
  <c r="I32" i="8" s="1"/>
  <c r="F32" i="8"/>
  <c r="L31" i="8"/>
  <c r="C34" i="8"/>
  <c r="B28" i="18" l="1"/>
  <c r="D28" i="18"/>
  <c r="E28" i="18"/>
  <c r="C29" i="18"/>
  <c r="G33" i="8"/>
  <c r="I33" i="8" s="1"/>
  <c r="F33" i="8"/>
  <c r="J32" i="8"/>
  <c r="L32" i="8"/>
  <c r="C35" i="8"/>
  <c r="B29" i="18" l="1"/>
  <c r="D29" i="18"/>
  <c r="E29" i="18"/>
  <c r="C30" i="18"/>
  <c r="G34" i="8"/>
  <c r="I34" i="8" s="1"/>
  <c r="F34" i="8"/>
  <c r="J33" i="8"/>
  <c r="L33" i="8"/>
  <c r="C36" i="8"/>
  <c r="D30" i="18" l="1"/>
  <c r="E30" i="18"/>
  <c r="B30" i="18"/>
  <c r="C31" i="18"/>
  <c r="B65" i="18"/>
  <c r="D65" i="18"/>
  <c r="E65" i="18"/>
  <c r="G35" i="8"/>
  <c r="I35" i="8" s="1"/>
  <c r="F35" i="8"/>
  <c r="L34" i="8"/>
  <c r="J34" i="8"/>
  <c r="C37" i="8"/>
  <c r="D31" i="18" l="1"/>
  <c r="E31" i="18"/>
  <c r="C32" i="18"/>
  <c r="B31" i="18"/>
  <c r="G36" i="8"/>
  <c r="I36" i="8" s="1"/>
  <c r="F36" i="8"/>
  <c r="L35" i="8"/>
  <c r="J35" i="8"/>
  <c r="C38" i="8"/>
  <c r="B32" i="18" l="1"/>
  <c r="D32" i="18"/>
  <c r="E32" i="18"/>
  <c r="C33" i="18"/>
  <c r="G37" i="8"/>
  <c r="I37" i="8" s="1"/>
  <c r="F37" i="8"/>
  <c r="J36" i="8"/>
  <c r="L36" i="8"/>
  <c r="C39" i="8"/>
  <c r="B33" i="18" l="1"/>
  <c r="D33" i="18"/>
  <c r="C34" i="18"/>
  <c r="E33" i="18"/>
  <c r="G38" i="8"/>
  <c r="I38" i="8" s="1"/>
  <c r="F38" i="8"/>
  <c r="L37" i="8"/>
  <c r="J37" i="8"/>
  <c r="C40" i="8"/>
  <c r="C35" i="18" l="1"/>
  <c r="B34" i="18"/>
  <c r="D34" i="18"/>
  <c r="E34" i="18"/>
  <c r="G39" i="8"/>
  <c r="I39" i="8" s="1"/>
  <c r="F39" i="8"/>
  <c r="J38" i="8"/>
  <c r="L38" i="8"/>
  <c r="C41" i="8"/>
  <c r="B35" i="18" l="1"/>
  <c r="E35" i="18"/>
  <c r="C36" i="18"/>
  <c r="D35" i="18"/>
  <c r="G41" i="8"/>
  <c r="I41" i="8" s="1"/>
  <c r="F41" i="8"/>
  <c r="G40" i="8"/>
  <c r="I40" i="8" s="1"/>
  <c r="F40" i="8"/>
  <c r="J39" i="8"/>
  <c r="L39" i="8"/>
  <c r="B36" i="18" l="1"/>
  <c r="D36" i="18"/>
  <c r="E36" i="18"/>
  <c r="C37" i="18"/>
  <c r="J41" i="8"/>
  <c r="L41" i="8"/>
  <c r="J40" i="8"/>
  <c r="L40" i="8"/>
  <c r="C38" i="18" l="1"/>
  <c r="D37" i="18"/>
  <c r="E37" i="18"/>
  <c r="B37" i="18"/>
  <c r="D38" i="18" l="1"/>
  <c r="E38" i="18"/>
  <c r="B38" i="18"/>
  <c r="C39" i="18"/>
  <c r="E39" i="18" l="1"/>
  <c r="C40" i="18"/>
  <c r="D39" i="18"/>
  <c r="B39" i="18"/>
  <c r="C41" i="18" l="1"/>
  <c r="B40" i="18"/>
  <c r="D40" i="18"/>
  <c r="E40" i="18"/>
  <c r="B41" i="18" l="1"/>
  <c r="D41" i="18"/>
  <c r="E41" i="18"/>
  <c r="C42" i="18"/>
  <c r="C43" i="18" l="1"/>
  <c r="D42" i="18"/>
  <c r="B42" i="18"/>
  <c r="E42" i="18"/>
  <c r="B43" i="18" l="1"/>
  <c r="D43" i="18"/>
  <c r="C44" i="18"/>
  <c r="E43" i="18"/>
  <c r="B44" i="18" l="1"/>
  <c r="D44" i="18"/>
  <c r="C45" i="18"/>
  <c r="E44" i="18"/>
  <c r="C46" i="18" l="1"/>
  <c r="E45" i="18"/>
  <c r="D45" i="18"/>
  <c r="B45" i="18"/>
  <c r="B46" i="18" l="1"/>
  <c r="E46" i="18"/>
  <c r="D46" i="18"/>
  <c r="C47" i="18"/>
  <c r="B47" i="18" l="1"/>
  <c r="C48" i="18"/>
  <c r="D47" i="18"/>
  <c r="E47" i="18"/>
  <c r="D48" i="18" l="1"/>
  <c r="B48" i="18"/>
  <c r="E48" i="18"/>
  <c r="C49" i="18"/>
  <c r="C50" i="18" l="1"/>
  <c r="B49" i="18"/>
  <c r="E49" i="18"/>
  <c r="D49" i="18"/>
  <c r="C51" i="18" l="1"/>
  <c r="B50" i="18"/>
  <c r="D50" i="18"/>
  <c r="E50" i="18"/>
  <c r="E51" i="18" l="1"/>
  <c r="D51" i="18"/>
  <c r="C52" i="18"/>
  <c r="B51" i="18"/>
  <c r="B52" i="18" l="1"/>
  <c r="E52" i="18"/>
  <c r="C53" i="18"/>
  <c r="D52" i="18"/>
  <c r="C54" i="18" l="1"/>
  <c r="D53" i="18"/>
  <c r="E53" i="18"/>
  <c r="B53" i="18"/>
  <c r="C55" i="18" l="1"/>
  <c r="B54" i="18"/>
  <c r="D54" i="18"/>
  <c r="E54" i="18"/>
  <c r="B55" i="18" l="1"/>
  <c r="C56" i="18"/>
  <c r="E55" i="18"/>
  <c r="D55" i="18"/>
  <c r="B56" i="18" l="1"/>
  <c r="D56" i="18"/>
  <c r="E56" i="18"/>
  <c r="C57" i="18"/>
  <c r="C58" i="18" l="1"/>
  <c r="B57" i="18"/>
  <c r="D57" i="18"/>
  <c r="E57" i="18"/>
  <c r="B58" i="18" l="1"/>
  <c r="E58" i="18"/>
  <c r="D58" i="18"/>
  <c r="C59" i="18"/>
  <c r="C60" i="18" l="1"/>
  <c r="B59" i="18"/>
  <c r="E59" i="18"/>
  <c r="D59" i="18"/>
  <c r="B60" i="18" l="1"/>
  <c r="E60" i="18"/>
  <c r="C61" i="18"/>
  <c r="D60" i="18"/>
  <c r="B61" i="18" l="1"/>
  <c r="C62" i="18"/>
  <c r="D61" i="18"/>
  <c r="E61" i="18"/>
  <c r="D62" i="18" l="1"/>
  <c r="B62" i="18"/>
  <c r="E62" i="18"/>
  <c r="C63" i="18"/>
  <c r="D63" i="18" l="1"/>
  <c r="C64" i="18"/>
  <c r="B63" i="18"/>
  <c r="E63" i="18"/>
  <c r="B64" i="18" l="1"/>
  <c r="E64" i="18"/>
  <c r="D6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Morris</author>
  </authors>
  <commentList>
    <comment ref="H25" authorId="0" shapeId="0" xr:uid="{4C405495-F7D0-2148-8C66-15FA65A2D108}">
      <text>
        <r>
          <rPr>
            <b/>
            <sz val="10"/>
            <color rgb="FF000000"/>
            <rFont val="Tahoma"/>
            <family val="2"/>
          </rPr>
          <t>Mark Morris: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input a photon frequency here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Morris</author>
  </authors>
  <commentList>
    <comment ref="B22" authorId="0" shapeId="0" xr:uid="{28210F85-D3B6-D747-8372-B049F1C87D96}">
      <text>
        <r>
          <rPr>
            <b/>
            <sz val="10"/>
            <color rgb="FF000000"/>
            <rFont val="Tahoma"/>
            <family val="2"/>
          </rPr>
          <t>Mark Morris: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planck wavelength
</t>
        </r>
      </text>
    </comment>
  </commentList>
</comments>
</file>

<file path=xl/sharedStrings.xml><?xml version="1.0" encoding="utf-8"?>
<sst xmlns="http://schemas.openxmlformats.org/spreadsheetml/2006/main" count="886" uniqueCount="483">
  <si>
    <t>Constants</t>
  </si>
  <si>
    <t>value</t>
  </si>
  <si>
    <t>units</t>
  </si>
  <si>
    <t>source</t>
  </si>
  <si>
    <t>c</t>
  </si>
  <si>
    <t>Planck Units</t>
  </si>
  <si>
    <t>Planck Energy</t>
  </si>
  <si>
    <t>G</t>
  </si>
  <si>
    <t>h</t>
  </si>
  <si>
    <t>ℏ</t>
  </si>
  <si>
    <r>
      <t>(LT</t>
    </r>
    <r>
      <rPr>
        <vertAlign val="superscript"/>
        <sz val="20"/>
        <color rgb="FF222222"/>
        <rFont val="Helvetica Neue"/>
        <family val="2"/>
      </rPr>
      <t>−1</t>
    </r>
    <r>
      <rPr>
        <sz val="20"/>
        <color rgb="FF222222"/>
        <rFont val="Helvetica Neue"/>
        <family val="2"/>
      </rPr>
      <t>)</t>
    </r>
  </si>
  <si>
    <t>Wiki</t>
  </si>
  <si>
    <t>notes</t>
  </si>
  <si>
    <t>This may be the ultimate speed of light both orbitally and linearly</t>
  </si>
  <si>
    <r>
      <t>(L</t>
    </r>
    <r>
      <rPr>
        <vertAlign val="superscript"/>
        <sz val="20"/>
        <color rgb="FF222222"/>
        <rFont val="Helvetica Neue"/>
        <family val="2"/>
      </rPr>
      <t>3</t>
    </r>
    <r>
      <rPr>
        <sz val="20"/>
        <color rgb="FF222222"/>
        <rFont val="Helvetica Neue"/>
        <family val="2"/>
      </rPr>
      <t>M</t>
    </r>
    <r>
      <rPr>
        <vertAlign val="superscript"/>
        <sz val="20"/>
        <color rgb="FF222222"/>
        <rFont val="Helvetica Neue"/>
        <family val="2"/>
      </rPr>
      <t>−1</t>
    </r>
    <r>
      <rPr>
        <sz val="20"/>
        <color rgb="FF222222"/>
        <rFont val="Helvetica Neue"/>
        <family val="2"/>
      </rPr>
      <t>T</t>
    </r>
    <r>
      <rPr>
        <vertAlign val="superscript"/>
        <sz val="20"/>
        <color rgb="FF222222"/>
        <rFont val="Helvetica Neue"/>
        <family val="2"/>
      </rPr>
      <t>−2</t>
    </r>
    <r>
      <rPr>
        <sz val="20"/>
        <color rgb="FF222222"/>
        <rFont val="Helvetica Neue"/>
        <family val="2"/>
      </rPr>
      <t>)</t>
    </r>
  </si>
  <si>
    <t>JT</t>
  </si>
  <si>
    <r>
      <t>J=(L</t>
    </r>
    <r>
      <rPr>
        <vertAlign val="superscript"/>
        <sz val="20"/>
        <color rgb="FF222222"/>
        <rFont val="Helvetica Neue"/>
        <family val="2"/>
      </rPr>
      <t>2</t>
    </r>
    <r>
      <rPr>
        <sz val="20"/>
        <color rgb="FF222222"/>
        <rFont val="Helvetica Neue"/>
        <family val="2"/>
      </rPr>
      <t>MT</t>
    </r>
    <r>
      <rPr>
        <vertAlign val="superscript"/>
        <sz val="20"/>
        <color rgb="FF222222"/>
        <rFont val="Helvetica Neue"/>
        <family val="2"/>
      </rPr>
      <t>−2</t>
    </r>
    <r>
      <rPr>
        <sz val="20"/>
        <color rgb="FF222222"/>
        <rFont val="Helvetica Neue"/>
        <family val="2"/>
      </rPr>
      <t>)</t>
    </r>
  </si>
  <si>
    <t>Planck Time</t>
  </si>
  <si>
    <t>Planck Mass</t>
  </si>
  <si>
    <t>M</t>
  </si>
  <si>
    <r>
      <t>(T</t>
    </r>
    <r>
      <rPr>
        <vertAlign val="superscript"/>
        <sz val="20"/>
        <color rgb="FF222222"/>
        <rFont val="Helvetica Neue"/>
        <family val="2"/>
      </rPr>
      <t>−1</t>
    </r>
    <r>
      <rPr>
        <sz val="20"/>
        <color rgb="FF222222"/>
        <rFont val="Helvetica Neue"/>
        <family val="2"/>
      </rPr>
      <t>)</t>
    </r>
  </si>
  <si>
    <t>Planck Temperature</t>
  </si>
  <si>
    <t>Planck Length</t>
  </si>
  <si>
    <t>L</t>
  </si>
  <si>
    <t>Planck Wavelength</t>
  </si>
  <si>
    <t>JMM</t>
  </si>
  <si>
    <t>alternate formula checks</t>
  </si>
  <si>
    <t>Boltzmann's constant</t>
  </si>
  <si>
    <t>𝞗</t>
  </si>
  <si>
    <t>Planck Charge</t>
  </si>
  <si>
    <t>C</t>
  </si>
  <si>
    <r>
      <t>L</t>
    </r>
    <r>
      <rPr>
        <vertAlign val="superscript"/>
        <sz val="20"/>
        <color rgb="FF222222"/>
        <rFont val="Helvetica Neue"/>
        <family val="2"/>
      </rPr>
      <t>3</t>
    </r>
    <r>
      <rPr>
        <sz val="20"/>
        <color rgb="FF222222"/>
        <rFont val="Helvetica Neue"/>
        <family val="2"/>
      </rPr>
      <t> M T </t>
    </r>
    <r>
      <rPr>
        <vertAlign val="superscript"/>
        <sz val="20"/>
        <color rgb="FF222222"/>
        <rFont val="Helvetica Neue"/>
        <family val="2"/>
      </rPr>
      <t>−2</t>
    </r>
    <r>
      <rPr>
        <sz val="20"/>
        <color rgb="FF222222"/>
        <rFont val="Helvetica Neue"/>
        <family val="2"/>
      </rPr>
      <t> Q</t>
    </r>
    <r>
      <rPr>
        <vertAlign val="superscript"/>
        <sz val="20"/>
        <color rgb="FF222222"/>
        <rFont val="Helvetica Neue"/>
        <family val="2"/>
      </rPr>
      <t>−2</t>
    </r>
  </si>
  <si>
    <r>
      <t>L</t>
    </r>
    <r>
      <rPr>
        <vertAlign val="superscript"/>
        <sz val="20"/>
        <color rgb="FF222222"/>
        <rFont val="Helvetica Neue"/>
        <family val="2"/>
      </rPr>
      <t>2</t>
    </r>
    <r>
      <rPr>
        <sz val="20"/>
        <color rgb="FF222222"/>
        <rFont val="Helvetica Neue"/>
        <family val="2"/>
      </rPr>
      <t> M T </t>
    </r>
    <r>
      <rPr>
        <vertAlign val="superscript"/>
        <sz val="20"/>
        <color rgb="FF222222"/>
        <rFont val="Helvetica Neue"/>
        <family val="2"/>
      </rPr>
      <t>−2</t>
    </r>
    <r>
      <rPr>
        <sz val="20"/>
        <color rgb="FF222222"/>
        <rFont val="Helvetica Neue"/>
        <family val="2"/>
      </rPr>
      <t> Θ</t>
    </r>
    <r>
      <rPr>
        <vertAlign val="superscript"/>
        <sz val="20"/>
        <color rgb="FF222222"/>
        <rFont val="Helvetica Neue"/>
        <family val="2"/>
      </rPr>
      <t>−1</t>
    </r>
    <r>
      <rPr>
        <sz val="20"/>
        <color rgb="FF222222"/>
        <rFont val="Helvetica Neue"/>
        <family val="2"/>
      </rPr>
      <t xml:space="preserve"> (J/K)</t>
    </r>
  </si>
  <si>
    <t>Coulomb constant</t>
  </si>
  <si>
    <t>Permittivity of "Free Space"</t>
  </si>
  <si>
    <t>Formula</t>
  </si>
  <si>
    <r>
      <t>(FM</t>
    </r>
    <r>
      <rPr>
        <vertAlign val="superscript"/>
        <sz val="20"/>
        <color rgb="FF222222"/>
        <rFont val="Helvetica Neue"/>
        <family val="2"/>
      </rPr>
      <t>−1</t>
    </r>
    <r>
      <rPr>
        <sz val="20"/>
        <color rgb="FF222222"/>
        <rFont val="Helvetica Neue"/>
        <family val="2"/>
      </rPr>
      <t>)</t>
    </r>
  </si>
  <si>
    <t>lineage of all constants and formula from 2019 SI redefinition</t>
  </si>
  <si>
    <r>
      <t>"Under the accepted proposals to redefine the </t>
    </r>
    <r>
      <rPr>
        <i/>
        <sz val="14"/>
        <color rgb="FF0B0080"/>
        <rFont val="Arial"/>
        <family val="2"/>
      </rPr>
      <t>ampere</t>
    </r>
    <r>
      <rPr>
        <i/>
        <sz val="14"/>
        <color rgb="FF222222"/>
        <rFont val="Arial"/>
        <family val="2"/>
      </rPr>
      <t> as a fixed number of </t>
    </r>
    <r>
      <rPr>
        <i/>
        <sz val="14"/>
        <color rgb="FF0B0080"/>
        <rFont val="Arial"/>
        <family val="2"/>
      </rPr>
      <t>elementary charges</t>
    </r>
    <r>
      <rPr>
        <i/>
        <sz val="14"/>
        <color rgb="FF222222"/>
        <rFont val="Arial"/>
        <family val="2"/>
      </rPr>
      <t> per second in 2019,</t>
    </r>
    <r>
      <rPr>
        <i/>
        <vertAlign val="superscript"/>
        <sz val="14"/>
        <color rgb="FF0B0080"/>
        <rFont val="Arial"/>
        <family val="2"/>
      </rPr>
      <t>[9]</t>
    </r>
    <r>
      <rPr>
        <i/>
        <sz val="14"/>
        <color rgb="FF222222"/>
        <rFont val="Arial"/>
        <family val="2"/>
      </rPr>
      <t> the electric constant will no longer have an exact fixed value. The value of the electron charge becomes a defined number, not measured, making μ</t>
    </r>
    <r>
      <rPr>
        <i/>
        <vertAlign val="subscript"/>
        <sz val="14"/>
        <color rgb="FF222222"/>
        <rFont val="Arial"/>
        <family val="2"/>
      </rPr>
      <t>0</t>
    </r>
    <r>
      <rPr>
        <i/>
        <sz val="14"/>
        <color rgb="FF222222"/>
        <rFont val="Arial"/>
        <family val="2"/>
      </rPr>
      <t> a measured quantity. Consequently, ε</t>
    </r>
    <r>
      <rPr>
        <i/>
        <vertAlign val="subscript"/>
        <sz val="14"/>
        <color rgb="FF222222"/>
        <rFont val="Arial"/>
        <family val="2"/>
      </rPr>
      <t>0</t>
    </r>
    <r>
      <rPr>
        <i/>
        <sz val="14"/>
        <color rgb="FF222222"/>
        <rFont val="Arial"/>
        <family val="2"/>
      </rPr>
      <t> will not be exact. As before, it will be defined by the equation ε</t>
    </r>
    <r>
      <rPr>
        <i/>
        <vertAlign val="subscript"/>
        <sz val="14"/>
        <color rgb="FF222222"/>
        <rFont val="Arial"/>
        <family val="2"/>
      </rPr>
      <t>0</t>
    </r>
    <r>
      <rPr>
        <i/>
        <sz val="14"/>
        <color rgb="FF222222"/>
        <rFont val="Arial"/>
        <family val="2"/>
      </rPr>
      <t> = 1/(μ</t>
    </r>
    <r>
      <rPr>
        <i/>
        <vertAlign val="subscript"/>
        <sz val="14"/>
        <color rgb="FF222222"/>
        <rFont val="Arial"/>
        <family val="2"/>
      </rPr>
      <t>0</t>
    </r>
    <r>
      <rPr>
        <i/>
        <sz val="14"/>
        <color rgb="FF222222"/>
        <rFont val="Arial"/>
        <family val="2"/>
      </rPr>
      <t>c</t>
    </r>
    <r>
      <rPr>
        <i/>
        <vertAlign val="superscript"/>
        <sz val="14"/>
        <color rgb="FF222222"/>
        <rFont val="Arial"/>
        <family val="2"/>
      </rPr>
      <t>2</t>
    </r>
    <r>
      <rPr>
        <i/>
        <sz val="14"/>
        <color rgb="FF222222"/>
        <rFont val="Arial"/>
        <family val="2"/>
      </rPr>
      <t>), and is thus determined by the value of μ</t>
    </r>
    <r>
      <rPr>
        <i/>
        <vertAlign val="subscript"/>
        <sz val="14"/>
        <color rgb="FF222222"/>
        <rFont val="Arial"/>
        <family val="2"/>
      </rPr>
      <t>0</t>
    </r>
    <r>
      <rPr>
        <i/>
        <sz val="14"/>
        <color rgb="FF222222"/>
        <rFont val="Arial"/>
        <family val="2"/>
      </rPr>
      <t>, the </t>
    </r>
    <r>
      <rPr>
        <i/>
        <sz val="14"/>
        <color rgb="FF0B0080"/>
        <rFont val="Arial"/>
        <family val="2"/>
      </rPr>
      <t>magnetic vacuum permeability</t>
    </r>
    <r>
      <rPr>
        <i/>
        <sz val="14"/>
        <color rgb="FF222222"/>
        <rFont val="Arial"/>
        <family val="2"/>
      </rPr>
      <t> which in turn is determined by the experimentally determined dimensionless </t>
    </r>
    <r>
      <rPr>
        <i/>
        <sz val="14"/>
        <color rgb="FF0B0080"/>
        <rFont val="Arial"/>
        <family val="2"/>
      </rPr>
      <t>fine-structure constant</t>
    </r>
    <r>
      <rPr>
        <i/>
        <sz val="14"/>
        <color rgb="FF222222"/>
        <rFont val="Arial"/>
        <family val="2"/>
      </rPr>
      <t> α." - Wikipedia</t>
    </r>
  </si>
  <si>
    <t>2019 SI Base Unit</t>
  </si>
  <si>
    <t>e</t>
  </si>
  <si>
    <t>Elementary electric charge</t>
  </si>
  <si>
    <t>Avogadro constant</t>
  </si>
  <si>
    <t>Plancks constant</t>
  </si>
  <si>
    <r>
      <t>N</t>
    </r>
    <r>
      <rPr>
        <vertAlign val="subscript"/>
        <sz val="20"/>
        <color theme="1"/>
        <rFont val="Helvetica Neue"/>
        <family val="2"/>
      </rPr>
      <t>A</t>
    </r>
  </si>
  <si>
    <r>
      <t>𝜇</t>
    </r>
    <r>
      <rPr>
        <vertAlign val="subscript"/>
        <sz val="20"/>
        <color theme="1"/>
        <rFont val="Helvetica Neue"/>
        <family val="2"/>
      </rPr>
      <t>0</t>
    </r>
  </si>
  <si>
    <r>
      <t>ε</t>
    </r>
    <r>
      <rPr>
        <vertAlign val="subscript"/>
        <sz val="20"/>
        <color theme="1"/>
        <rFont val="Helvetica Neue"/>
        <family val="2"/>
      </rPr>
      <t>0</t>
    </r>
  </si>
  <si>
    <r>
      <t>K</t>
    </r>
    <r>
      <rPr>
        <vertAlign val="subscript"/>
        <sz val="20"/>
        <color theme="1"/>
        <rFont val="Helvetica Neue"/>
        <family val="2"/>
      </rPr>
      <t>B</t>
    </r>
  </si>
  <si>
    <r>
      <t>K</t>
    </r>
    <r>
      <rPr>
        <vertAlign val="subscript"/>
        <sz val="20"/>
        <color theme="1"/>
        <rFont val="Helvetica Neue"/>
        <family val="2"/>
      </rPr>
      <t>e</t>
    </r>
  </si>
  <si>
    <t>_xDF36_𝜶</t>
  </si>
  <si>
    <t>Fine structure constant.</t>
  </si>
  <si>
    <t>sec</t>
  </si>
  <si>
    <t>SI Base Unit: defined by taking the fixed numerical value of the caesium frequency ∆νCs, the unperturbed ground-state hyperfine transition frequency of the caesium 133 atom, to be 9 192 631 770 when expressed in the unit Hz, which is equal to s−1</t>
  </si>
  <si>
    <t>Second</t>
  </si>
  <si>
    <r>
      <t>mol</t>
    </r>
    <r>
      <rPr>
        <vertAlign val="superscript"/>
        <sz val="22"/>
        <color rgb="FF222222"/>
        <rFont val="Arial"/>
        <family val="2"/>
      </rPr>
      <t>−1</t>
    </r>
  </si>
  <si>
    <t>T</t>
  </si>
  <si>
    <t>C - Coulombs</t>
  </si>
  <si>
    <t>dimensionless</t>
  </si>
  <si>
    <t>Wiki measured</t>
  </si>
  <si>
    <t>"the quantum of electromagnetic action, which relates the energy carried by a photon to its frequency. A photon's energy is equal to its frequency multiplied by the Planck constant." - Wikipedia</t>
  </si>
  <si>
    <t>"Planck hypothesized that the equations of motion for light describe a set of harmonic oscillators, one for each possible frequency."</t>
  </si>
  <si>
    <t>Frequency &amp; wavelength</t>
  </si>
  <si>
    <t>A volt is one joule per coulomb</t>
  </si>
  <si>
    <t>Joules to eV conversion</t>
  </si>
  <si>
    <t>eV</t>
  </si>
  <si>
    <t>Compton wavelength</t>
  </si>
  <si>
    <t>"The Compton wavelength of a particle is equal to the wavelength of a photon whose energy is the same as the mass of that particle." Wiki. This seems odd to me.</t>
  </si>
  <si>
    <t>Formulas and Conversions</t>
  </si>
  <si>
    <t>eV/J</t>
  </si>
  <si>
    <t>"The Schwarzschild radius defines the event horizon of a Schwarzschild black hole. It is a characteristic radius associated with every quantity of mass." Wikipedia</t>
  </si>
  <si>
    <t>Schwarzschild radius</t>
  </si>
  <si>
    <t>Photon energy</t>
  </si>
  <si>
    <t>J</t>
  </si>
  <si>
    <t>frequency</t>
  </si>
  <si>
    <t>wavelength</t>
  </si>
  <si>
    <t>Unit</t>
  </si>
  <si>
    <t>Value</t>
  </si>
  <si>
    <t>Hz</t>
  </si>
  <si>
    <t>De Brogle wavelength</t>
  </si>
  <si>
    <t>Wikipedia and Wikiversity</t>
  </si>
  <si>
    <t>Planck-Einstein equation</t>
  </si>
  <si>
    <t>L - path</t>
  </si>
  <si>
    <t>Lorentz distance</t>
  </si>
  <si>
    <t>Lorentz time</t>
  </si>
  <si>
    <t>"Lorentz" velocity</t>
  </si>
  <si>
    <t>factors cancel out so v=v and "c"="c"</t>
  </si>
  <si>
    <t>Note that I am thinking that photons travel at v very close to c based on their energy.</t>
  </si>
  <si>
    <t>multiply</t>
  </si>
  <si>
    <t>Planck Lengths</t>
  </si>
  <si>
    <t>Planck Wavelengths</t>
  </si>
  <si>
    <t>Lorentz Factor</t>
  </si>
  <si>
    <t>1/Lorentz Factor</t>
  </si>
  <si>
    <t>Harmonic Basis</t>
  </si>
  <si>
    <t>Max Photon Energy (eV)</t>
  </si>
  <si>
    <t>Wavelengths (meters)</t>
  </si>
  <si>
    <t>Photon Energy from Wavelength - using c not v</t>
  </si>
  <si>
    <t>how do I figure out v????</t>
  </si>
  <si>
    <t>Energy as a fracton of Planck Energy</t>
  </si>
  <si>
    <t>is the wavelength related to how far a particle would travel at v vs. c?</t>
  </si>
  <si>
    <t>Lorentz factor</t>
  </si>
  <si>
    <t>v/c</t>
  </si>
  <si>
    <t>or is it related to the energy fraction?</t>
  </si>
  <si>
    <t>I am thinking the energy  somehow should relate to lorentz</t>
  </si>
  <si>
    <t>where v is both rotational and translational v?</t>
  </si>
  <si>
    <t>1/Lorentz factor</t>
  </si>
  <si>
    <t>it's like it is winding down like a gear. the gears are the harmonics</t>
  </si>
  <si>
    <t>how many harmonics can each design or wave function support?</t>
  </si>
  <si>
    <t>𝛄</t>
  </si>
  <si>
    <t>Planck Frequency</t>
  </si>
  <si>
    <t>h/2π</t>
  </si>
  <si>
    <t>Lorentz alpha</t>
  </si>
  <si>
    <t>NPQG Formula</t>
  </si>
  <si>
    <t>Planck / Einstein Formula</t>
  </si>
  <si>
    <t>Mass-Energy Relation</t>
  </si>
  <si>
    <t>Energy-Momentum Relation</t>
  </si>
  <si>
    <t>Photon Example</t>
  </si>
  <si>
    <t>speed of light = v(f)</t>
  </si>
  <si>
    <t>eh? what is this?</t>
  </si>
  <si>
    <t>check???</t>
  </si>
  <si>
    <t>insight? boltzmann's constant is the entropy of a unit sphere of 3 orthogonal dipoles.</t>
  </si>
  <si>
    <t>Hawking raditation temperature</t>
  </si>
  <si>
    <t>ℏ c3/(8 π G M kB)</t>
  </si>
  <si>
    <t>need to look at how Hawking temp was derived and how it relates to Planck temp</t>
  </si>
  <si>
    <t>the shorter the wavelength, the shorter the wave equation path. This is why ultimately it is a pair in a circle, chasing their tails.</t>
  </si>
  <si>
    <t>Energy in a cubic meter of Planck core</t>
  </si>
  <si>
    <t>Joules</t>
  </si>
  <si>
    <t>how can the planck charge be &gt; e?</t>
  </si>
  <si>
    <t>E=hf does this hold for Planck?</t>
  </si>
  <si>
    <t>Yes it sure does.</t>
  </si>
  <si>
    <t>What percentage of the mass is shielded as a function of radius?</t>
  </si>
  <si>
    <t>So here we need to know the density and how many particles we counted in the surface area and how many are on the interior. Should be easy peezee</t>
  </si>
  <si>
    <t>Particles we counted on the surface</t>
  </si>
  <si>
    <t>=</t>
  </si>
  <si>
    <t>surface area / Plack area.     Even though we are counting ones poking through from the next layer at 100% strength Planck mass</t>
  </si>
  <si>
    <t>I am quite skeptical of the ring core in a spinning black hole. I could see an oblate spheroid, but I don't see how centrifugal force would play a role yet.</t>
  </si>
  <si>
    <t>I guess maybe, but what would the cross-section of the ring look like?  I dunno.</t>
  </si>
  <si>
    <t>surface area</t>
  </si>
  <si>
    <t>volume</t>
  </si>
  <si>
    <t>4 /3 * pi * r^3</t>
  </si>
  <si>
    <t>4 pi r^2</t>
  </si>
  <si>
    <t>meters</t>
  </si>
  <si>
    <t>square meters</t>
  </si>
  <si>
    <t>cubic meters</t>
  </si>
  <si>
    <t>surface' particles</t>
  </si>
  <si>
    <t xml:space="preserve"> A/pi Lp^2</t>
  </si>
  <si>
    <t>surface mass</t>
  </si>
  <si>
    <t>core particles</t>
  </si>
  <si>
    <t>get the formula for the 74% and use that instead</t>
  </si>
  <si>
    <t>core mass</t>
  </si>
  <si>
    <t>V/pi Lp^3</t>
  </si>
  <si>
    <t>solar mass</t>
  </si>
  <si>
    <t>hidden mass</t>
  </si>
  <si>
    <t>I dunno this result seems odd. Check all the math.</t>
  </si>
  <si>
    <t>kg</t>
  </si>
  <si>
    <t>fraction of</t>
  </si>
  <si>
    <t>in solar masses</t>
  </si>
  <si>
    <t>where is it?</t>
  </si>
  <si>
    <t>core radius</t>
  </si>
  <si>
    <t>most hidden</t>
  </si>
  <si>
    <t>I thought I already made a calculator based on surface area and planck mass</t>
  </si>
  <si>
    <t>Graphene thickness</t>
  </si>
  <si>
    <t>What</t>
  </si>
  <si>
    <t>Proton electrinos</t>
  </si>
  <si>
    <t xml:space="preserve"> -e/6 ipc</t>
  </si>
  <si>
    <t>Proton positrinos</t>
  </si>
  <si>
    <t xml:space="preserve"> +e/6 ipc</t>
  </si>
  <si>
    <t>Neutron electrinos</t>
  </si>
  <si>
    <t>Neutron positrinos</t>
  </si>
  <si>
    <t>Electron electrinos</t>
  </si>
  <si>
    <t>Electron positrinos</t>
  </si>
  <si>
    <t>Carbon has 6 of each</t>
  </si>
  <si>
    <t>area</t>
  </si>
  <si>
    <t>side</t>
  </si>
  <si>
    <t>m</t>
  </si>
  <si>
    <t>meters squared</t>
  </si>
  <si>
    <t xml:space="preserve">meters  </t>
  </si>
  <si>
    <t>Point charges per cell</t>
  </si>
  <si>
    <t>m^3</t>
  </si>
  <si>
    <t>Planck length</t>
  </si>
  <si>
    <t>Volume graphene cell</t>
  </si>
  <si>
    <t>Radius of ipc</t>
  </si>
  <si>
    <t>Volume of ipc</t>
  </si>
  <si>
    <t>total ipc volume</t>
  </si>
  <si>
    <t>d</t>
  </si>
  <si>
    <t>electron</t>
  </si>
  <si>
    <t>from Mu-Chun Chen Notorious Neutrinos talk on Aspen Physics YouTube</t>
  </si>
  <si>
    <t>Mixing angles related to the CKM matrix for Neutrinos</t>
  </si>
  <si>
    <t>sin^2(theta23) ~ 1/2</t>
  </si>
  <si>
    <t>sin^2(theta12) ~ 1/3</t>
  </si>
  <si>
    <t>sin^2(theta13) ~ 1/6</t>
  </si>
  <si>
    <t>sin^2</t>
  </si>
  <si>
    <t>sin</t>
  </si>
  <si>
    <t>theta radians</t>
  </si>
  <si>
    <t>degrees</t>
  </si>
  <si>
    <t>wow this is fantastic - it shows that neutrinos are already squished to some degree. rather than 90-90-90!!!!</t>
  </si>
  <si>
    <t>muon</t>
  </si>
  <si>
    <t>tau</t>
  </si>
  <si>
    <t>total/apparent</t>
  </si>
  <si>
    <t>up</t>
  </si>
  <si>
    <t>charm</t>
  </si>
  <si>
    <t>top</t>
  </si>
  <si>
    <t>down</t>
  </si>
  <si>
    <t>strange</t>
  </si>
  <si>
    <t>bottom</t>
  </si>
  <si>
    <t>units : MeV/c2</t>
  </si>
  <si>
    <t>u/d/u</t>
  </si>
  <si>
    <t>c/s/c</t>
  </si>
  <si>
    <t>t/b/t</t>
  </si>
  <si>
    <t>total/GenI</t>
  </si>
  <si>
    <t>d/u/d</t>
  </si>
  <si>
    <t>s/c/s</t>
  </si>
  <si>
    <t>b/t/b</t>
  </si>
  <si>
    <t>Gen I</t>
  </si>
  <si>
    <t>Gen II</t>
  </si>
  <si>
    <t>Gen III</t>
  </si>
  <si>
    <t>total energy</t>
  </si>
  <si>
    <t>apparent energy</t>
  </si>
  <si>
    <t xml:space="preserve"> +2/3 quark</t>
  </si>
  <si>
    <t xml:space="preserve"> -1/3 quark</t>
  </si>
  <si>
    <t>charge</t>
  </si>
  <si>
    <t xml:space="preserve"> +1 Proton P</t>
  </si>
  <si>
    <t xml:space="preserve"> 0 Neutron N</t>
  </si>
  <si>
    <t xml:space="preserve"> 0 P+N+e</t>
  </si>
  <si>
    <t>at every frequency, there is some temperature where the radiation peaks (Planck, Wien)</t>
  </si>
  <si>
    <t>at that frequency and peak, the point charges are moving at v=c</t>
  </si>
  <si>
    <t>we should be able to calculate their radius right?</t>
  </si>
  <si>
    <t>wavelength x frequency = c for photons</t>
  </si>
  <si>
    <t>E = hf</t>
  </si>
  <si>
    <t>E = hc/lambda</t>
  </si>
  <si>
    <t>f = c/lambda</t>
  </si>
  <si>
    <t xml:space="preserve">c = </t>
  </si>
  <si>
    <t>m/s</t>
  </si>
  <si>
    <t>dipole circumference = 2 pi r</t>
  </si>
  <si>
    <t>hz = 1/f</t>
  </si>
  <si>
    <t>the point charge travels 2 pi r distance at c in 1/f seconds</t>
  </si>
  <si>
    <t>distance/time = velocity</t>
  </si>
  <si>
    <t>2 pi r / (1/f) = c</t>
  </si>
  <si>
    <t>2 pi r f = c</t>
  </si>
  <si>
    <t>r = c / 2 pi f</t>
  </si>
  <si>
    <t>r</t>
  </si>
  <si>
    <t>so at the planck frequency, the radius of the dipole is Lp and that checks out because then the radius of immutability would be Lp/2</t>
  </si>
  <si>
    <t>how should temperature be interpreted?</t>
  </si>
  <si>
    <t>energy of a photon = (1/alpha) * energy to overcome electrostating repulsion (A. Ash)</t>
  </si>
  <si>
    <t>so would that be akin to a reduction of Noether core dipole frequencies, by 120, 60, and 30 to make one photon? Or do absorb one photon?</t>
  </si>
  <si>
    <t>photon has 12 point charges</t>
  </si>
  <si>
    <t>just brainstorming here.... trying to figure out what is going on.</t>
  </si>
  <si>
    <t>if we split the energy between the Noether cores</t>
  </si>
  <si>
    <t>reduced Planck's constant</t>
  </si>
  <si>
    <t>ℏ = h/2π</t>
  </si>
  <si>
    <t>top quark</t>
  </si>
  <si>
    <t>eV/c2</t>
  </si>
  <si>
    <t>Hz/c2</t>
  </si>
  <si>
    <t>1/ℏ</t>
  </si>
  <si>
    <t>Hz/eV</t>
  </si>
  <si>
    <t>Planck frequency</t>
  </si>
  <si>
    <t>speed of em @</t>
  </si>
  <si>
    <t xml:space="preserve"> @ = ~c</t>
  </si>
  <si>
    <t>pi/2</t>
  </si>
  <si>
    <t>Planck's contatnt</t>
  </si>
  <si>
    <t>a photon's energy = h * f</t>
  </si>
  <si>
    <t>so h represents what exactly, two counter-rotating Noether cores?</t>
  </si>
  <si>
    <t>eV s / cycle</t>
  </si>
  <si>
    <t>eV / Hz</t>
  </si>
  <si>
    <t>m / s</t>
  </si>
  <si>
    <t>a part of the problem here is that Planck and Einstein were working under the idea that a photon IS an EM wave. Hmmm.....</t>
  </si>
  <si>
    <t>so Planck constants really describe photons right?</t>
  </si>
  <si>
    <t>how do we convert that to natural units for point charges?</t>
  </si>
  <si>
    <t>Atomic Composition of a Lean 70-kg Man</t>
  </si>
  <si>
    <t>Element</t>
  </si>
  <si>
    <t># of Atoms</t>
  </si>
  <si>
    <t>hydrogen</t>
  </si>
  <si>
    <t>oxygen</t>
  </si>
  <si>
    <t>carbon</t>
  </si>
  <si>
    <t>nitrogen</t>
  </si>
  <si>
    <t>calcium</t>
  </si>
  <si>
    <t>phosphorus</t>
  </si>
  <si>
    <t>sulfur</t>
  </si>
  <si>
    <t>sodium</t>
  </si>
  <si>
    <t>potassium</t>
  </si>
  <si>
    <t>chlorine</t>
  </si>
  <si>
    <t>magnesium</t>
  </si>
  <si>
    <t>silicon</t>
  </si>
  <si>
    <t>fluorine</t>
  </si>
  <si>
    <t>iron</t>
  </si>
  <si>
    <t>zinc</t>
  </si>
  <si>
    <t>rubidium</t>
  </si>
  <si>
    <t>strontium</t>
  </si>
  <si>
    <t>bromine</t>
  </si>
  <si>
    <t>aluminum</t>
  </si>
  <si>
    <t>copper</t>
  </si>
  <si>
    <t>lead</t>
  </si>
  <si>
    <t>cadmium</t>
  </si>
  <si>
    <t>boron</t>
  </si>
  <si>
    <t>manganese</t>
  </si>
  <si>
    <t>nickel</t>
  </si>
  <si>
    <t>lithium</t>
  </si>
  <si>
    <t>barium</t>
  </si>
  <si>
    <t>iodine</t>
  </si>
  <si>
    <t>tin</t>
  </si>
  <si>
    <t>gold</t>
  </si>
  <si>
    <t>zirconium</t>
  </si>
  <si>
    <t>cobalt</t>
  </si>
  <si>
    <t>cesium</t>
  </si>
  <si>
    <t>mercury</t>
  </si>
  <si>
    <t>arsenic</t>
  </si>
  <si>
    <t>chromium</t>
  </si>
  <si>
    <t>molybdenum</t>
  </si>
  <si>
    <t>selenium</t>
  </si>
  <si>
    <t>beryllium</t>
  </si>
  <si>
    <t>vanadium</t>
  </si>
  <si>
    <t>uranium</t>
  </si>
  <si>
    <t>radium</t>
  </si>
  <si>
    <t>P</t>
  </si>
  <si>
    <t>N</t>
  </si>
  <si>
    <t>point charges</t>
  </si>
  <si>
    <t>c = Lp/Tp</t>
  </si>
  <si>
    <t>so this is related to the dipole because with c~=@ this says one planck length is how far the potential field moves in a planck time.</t>
  </si>
  <si>
    <t>so now we need to understand a Planck time</t>
  </si>
  <si>
    <t xml:space="preserve"> -1 electron</t>
  </si>
  <si>
    <t>Proton</t>
  </si>
  <si>
    <t>Neutron</t>
  </si>
  <si>
    <t>Deuterium</t>
  </si>
  <si>
    <t>Higgs</t>
  </si>
  <si>
    <t>How do you convert the Planck energy into GeV/c^2</t>
  </si>
  <si>
    <t>ev/J</t>
  </si>
  <si>
    <t>GeV</t>
  </si>
  <si>
    <t>Potential field speed @ with proxy c</t>
  </si>
  <si>
    <t xml:space="preserve">Planck Energy </t>
  </si>
  <si>
    <t>GeV/c^2</t>
  </si>
  <si>
    <t>is this right? 136 GeV? that's less than top</t>
  </si>
  <si>
    <t>Planck scale should really be at the tightest curvature</t>
  </si>
  <si>
    <t>wiki</t>
  </si>
  <si>
    <r>
      <t xml:space="preserve">In particle physics and physical cosmology, the Planck scale is an energy scale around </t>
    </r>
    <r>
      <rPr>
        <sz val="12"/>
        <color rgb="FFFF0000"/>
        <rFont val="Calibri (Body)"/>
      </rPr>
      <t>1.22×10^19 GeV</t>
    </r>
    <r>
      <rPr>
        <sz val="12"/>
        <color theme="1"/>
        <rFont val="Calibri"/>
        <family val="2"/>
        <scheme val="minor"/>
      </rPr>
      <t xml:space="preserve"> (the Planck energy, corresponding to the energy equivalent of the Planck mass, is 2.17645×10^−8 kg) at which quantum effects of gravity become significant. At this scale, present descriptions and theories of sub-atomic particle interactions in terms of quantum field theory break down and become inadequate, due to the impact of the apparent non-renormalizability of gravity within current theories.</t>
    </r>
  </si>
  <si>
    <t>Hmmm I need to think about how to interpret this.</t>
  </si>
  <si>
    <t>1 over this</t>
  </si>
  <si>
    <t>check my math</t>
  </si>
  <si>
    <t>does this reduce to something else?</t>
  </si>
  <si>
    <t>Hyperfine energy delta for Hydrogen 21 cm line</t>
  </si>
  <si>
    <t>frequency change calculation</t>
  </si>
  <si>
    <t>this type of math works out. it should.</t>
  </si>
  <si>
    <t>visible light</t>
  </si>
  <si>
    <t>total distance = hypotenuse</t>
  </si>
  <si>
    <t>transverse wavelength =  2 pi r = longitudinal wavelength</t>
  </si>
  <si>
    <t>velocity is sqrt(2) * @</t>
  </si>
  <si>
    <t>Gen III?</t>
  </si>
  <si>
    <t>tbd</t>
  </si>
  <si>
    <t>rotate z</t>
  </si>
  <si>
    <t>rotate y</t>
  </si>
  <si>
    <t>rotate x</t>
  </si>
  <si>
    <t>What are the possible transformations?</t>
  </si>
  <si>
    <t>Angular momentum must be conserved.</t>
  </si>
  <si>
    <t>How many unique sphere configurations are there?</t>
  </si>
  <si>
    <t>How can we answer this question mathematically (with excel?)</t>
  </si>
  <si>
    <t>Is there a chirality?</t>
  </si>
  <si>
    <t>Are these all rotations of each other?</t>
  </si>
  <si>
    <t>Which of these are equivalent?</t>
  </si>
  <si>
    <t>z-</t>
  </si>
  <si>
    <t>z+</t>
  </si>
  <si>
    <t>y-</t>
  </si>
  <si>
    <t>y+</t>
  </si>
  <si>
    <t>x-</t>
  </si>
  <si>
    <t>x+</t>
  </si>
  <si>
    <t>Configurations of Axis</t>
  </si>
  <si>
    <t>-</t>
  </si>
  <si>
    <t>c-</t>
  </si>
  <si>
    <t>+</t>
  </si>
  <si>
    <t>c+</t>
  </si>
  <si>
    <t>b-</t>
  </si>
  <si>
    <t>b+</t>
  </si>
  <si>
    <t>a-</t>
  </si>
  <si>
    <t>a+</t>
  </si>
  <si>
    <t>Charge</t>
  </si>
  <si>
    <t>Names</t>
  </si>
  <si>
    <t>Num'</t>
  </si>
  <si>
    <t>all particles are fixed in position on the unit sphere</t>
  </si>
  <si>
    <t>all epsilon particles stay on the surface of the unit sphere with constant radius = 1 in this model.</t>
  </si>
  <si>
    <t>Assumptions</t>
  </si>
  <si>
    <t>These are very old ideas from January 2020</t>
  </si>
  <si>
    <t>B</t>
  </si>
  <si>
    <t>A</t>
  </si>
  <si>
    <t xml:space="preserve"> 1/1</t>
  </si>
  <si>
    <t>tau anti-neutrino</t>
  </si>
  <si>
    <t>unstable</t>
  </si>
  <si>
    <t xml:space="preserve"> 0/6</t>
  </si>
  <si>
    <t xml:space="preserve"> 1/7</t>
  </si>
  <si>
    <t>anti-tau</t>
  </si>
  <si>
    <t xml:space="preserve"> 1/5</t>
  </si>
  <si>
    <t xml:space="preserve"> 2/6</t>
  </si>
  <si>
    <t xml:space="preserve"> 2/4</t>
  </si>
  <si>
    <t xml:space="preserve"> 3/5</t>
  </si>
  <si>
    <t>anti-bottom</t>
  </si>
  <si>
    <t xml:space="preserve"> 2/2</t>
  </si>
  <si>
    <t>muon anti-neutrino</t>
  </si>
  <si>
    <t xml:space="preserve"> 2/8</t>
  </si>
  <si>
    <t>anti-muon</t>
  </si>
  <si>
    <t xml:space="preserve"> 3/7</t>
  </si>
  <si>
    <t xml:space="preserve"> 4/6</t>
  </si>
  <si>
    <t>anti-strange</t>
  </si>
  <si>
    <t xml:space="preserve"> 3/3</t>
  </si>
  <si>
    <t xml:space="preserve"> 4/8</t>
  </si>
  <si>
    <t xml:space="preserve"> 5/7</t>
  </si>
  <si>
    <t>anti-down</t>
  </si>
  <si>
    <t>electron anti-neutrino</t>
  </si>
  <si>
    <t>reactive</t>
  </si>
  <si>
    <t xml:space="preserve"> 3/9</t>
  </si>
  <si>
    <t>positron</t>
  </si>
  <si>
    <t xml:space="preserve"> 6/6</t>
  </si>
  <si>
    <t>photon</t>
  </si>
  <si>
    <t>stable</t>
  </si>
  <si>
    <t xml:space="preserve"> 6/12</t>
  </si>
  <si>
    <t>W+</t>
  </si>
  <si>
    <t xml:space="preserve"> 9/9</t>
  </si>
  <si>
    <t>Z</t>
  </si>
  <si>
    <t xml:space="preserve"> 9/15</t>
  </si>
  <si>
    <t>pi+</t>
  </si>
  <si>
    <t xml:space="preserve"> 12/12</t>
  </si>
  <si>
    <t>anti-pi0</t>
  </si>
  <si>
    <t xml:space="preserve"> 15/21</t>
  </si>
  <si>
    <t xml:space="preserve"> 18/18</t>
  </si>
  <si>
    <t>Anti-Neutron</t>
  </si>
  <si>
    <t>gluon</t>
  </si>
  <si>
    <t xml:space="preserve"> 6/0</t>
  </si>
  <si>
    <t xml:space="preserve"> 21/15</t>
  </si>
  <si>
    <t>Anti-Proton</t>
  </si>
  <si>
    <t>𝜋</t>
  </si>
  <si>
    <t>pi0</t>
  </si>
  <si>
    <t xml:space="preserve"> 15/9</t>
  </si>
  <si>
    <t>pi-</t>
  </si>
  <si>
    <t>𝜋or g</t>
  </si>
  <si>
    <t>W</t>
  </si>
  <si>
    <t xml:space="preserve"> 12/6</t>
  </si>
  <si>
    <t>W-</t>
  </si>
  <si>
    <t xml:space="preserve"> 9/3</t>
  </si>
  <si>
    <t>!e</t>
  </si>
  <si>
    <t>electron neutrino</t>
  </si>
  <si>
    <t>!D</t>
  </si>
  <si>
    <t>!μ</t>
  </si>
  <si>
    <t xml:space="preserve"> 4/2</t>
  </si>
  <si>
    <t xml:space="preserve"> 7/5</t>
  </si>
  <si>
    <t>U</t>
  </si>
  <si>
    <t>!S</t>
  </si>
  <si>
    <t>!𝜏</t>
  </si>
  <si>
    <t xml:space="preserve"> 5/1</t>
  </si>
  <si>
    <t xml:space="preserve"> 8/4</t>
  </si>
  <si>
    <t>anti-up</t>
  </si>
  <si>
    <t>!B</t>
  </si>
  <si>
    <t xml:space="preserve"> 6/4</t>
  </si>
  <si>
    <t>D</t>
  </si>
  <si>
    <t xml:space="preserve"> 7/3</t>
  </si>
  <si>
    <t>anti-charm</t>
  </si>
  <si>
    <t>!U</t>
  </si>
  <si>
    <t>S</t>
  </si>
  <si>
    <t xml:space="preserve"> 8/2</t>
  </si>
  <si>
    <t>!C</t>
  </si>
  <si>
    <t>𝝼</t>
  </si>
  <si>
    <t>muon neutrino</t>
  </si>
  <si>
    <t>μ</t>
  </si>
  <si>
    <t>!T</t>
  </si>
  <si>
    <t xml:space="preserve"> 5/3</t>
  </si>
  <si>
    <t>𝜏</t>
  </si>
  <si>
    <t>positrinos</t>
  </si>
  <si>
    <t xml:space="preserve"> 6/2</t>
  </si>
  <si>
    <t>antitop</t>
  </si>
  <si>
    <t xml:space="preserve"> 7/1</t>
  </si>
  <si>
    <t>electrinos</t>
  </si>
  <si>
    <t>tau neutrino</t>
  </si>
  <si>
    <r>
      <rPr>
        <b/>
        <sz val="12"/>
        <color rgb="FFC00000"/>
        <rFont val="Calibri (Body)"/>
      </rPr>
      <t>unstable</t>
    </r>
    <r>
      <rPr>
        <sz val="12"/>
        <color theme="1"/>
        <rFont val="Calibri"/>
        <family val="2"/>
        <scheme val="minor"/>
      </rPr>
      <t xml:space="preserve"> or stable</t>
    </r>
  </si>
  <si>
    <t xml:space="preserve">stable </t>
  </si>
  <si>
    <t>Higgs shell</t>
  </si>
  <si>
    <t>photon shell</t>
  </si>
  <si>
    <t>electron neutrino shell</t>
  </si>
  <si>
    <t>muon neutrino shell</t>
  </si>
  <si>
    <t>tau neutrino shell</t>
  </si>
  <si>
    <t>payload</t>
  </si>
  <si>
    <t>particle formula 𝟄-/𝟄+</t>
  </si>
  <si>
    <r>
      <t xml:space="preserve">particle name 
</t>
    </r>
    <r>
      <rPr>
        <b/>
        <sz val="12"/>
        <color rgb="FF7030A0"/>
        <rFont val="Calibri (Body)"/>
      </rPr>
      <t xml:space="preserve">
quark</t>
    </r>
    <r>
      <rPr>
        <b/>
        <sz val="12"/>
        <color rgb="FF7030A0"/>
        <rFont val="Calibri"/>
        <family val="2"/>
        <scheme val="minor"/>
      </rPr>
      <t xml:space="preserve">s </t>
    </r>
    <r>
      <rPr>
        <b/>
        <sz val="12"/>
        <color rgb="FF00B050"/>
        <rFont val="Calibri (Body)"/>
      </rPr>
      <t xml:space="preserve">
lepton</t>
    </r>
    <r>
      <rPr>
        <b/>
        <sz val="12"/>
        <color rgb="FF00B050"/>
        <rFont val="Calibri"/>
        <family val="2"/>
        <scheme val="minor"/>
      </rPr>
      <t xml:space="preserve">s 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2"/>
        <color rgb="FFC00000"/>
        <rFont val="Calibri (Body)"/>
      </rPr>
      <t>bosons</t>
    </r>
  </si>
  <si>
    <t>stability in low temp spacetime</t>
  </si>
  <si>
    <t>Σ(𝟄-)
+
Σ(𝟄+)</t>
  </si>
  <si>
    <t>mass eV/C^2</t>
  </si>
  <si>
    <t>anti-photon</t>
  </si>
  <si>
    <t>electron anti neutrino</t>
  </si>
  <si>
    <t>shell</t>
  </si>
  <si>
    <t>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</si>
</sst>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E+00"/>
    <numFmt numFmtId="165" formatCode="0.000000000E+00"/>
    <numFmt numFmtId="166" formatCode="_(* #,##0_);_(* \(#,##0\);_(* &quot;-&quot;??_);_(@_)"/>
    <numFmt numFmtId="167" formatCode="0.0000E+00"/>
    <numFmt numFmtId="168" formatCode="0.0"/>
    <numFmt numFmtId="169" formatCode="0.0E+00"/>
  </numFmts>
  <fonts count="4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20"/>
      <color theme="1"/>
      <name val="Helvetica Neue"/>
      <family val="2"/>
    </font>
    <font>
      <sz val="20"/>
      <color rgb="FF222222"/>
      <name val="Helvetica Neue"/>
      <family val="2"/>
    </font>
    <font>
      <vertAlign val="superscript"/>
      <sz val="20"/>
      <color rgb="FF222222"/>
      <name val="Helvetica Neue"/>
      <family val="2"/>
    </font>
    <font>
      <i/>
      <sz val="14"/>
      <color rgb="FF222222"/>
      <name val="Arial"/>
      <family val="2"/>
    </font>
    <font>
      <i/>
      <sz val="14"/>
      <color rgb="FF0B0080"/>
      <name val="Arial"/>
      <family val="2"/>
    </font>
    <font>
      <i/>
      <vertAlign val="superscript"/>
      <sz val="14"/>
      <color rgb="FF0B0080"/>
      <name val="Arial"/>
      <family val="2"/>
    </font>
    <font>
      <i/>
      <vertAlign val="subscript"/>
      <sz val="14"/>
      <color rgb="FF222222"/>
      <name val="Arial"/>
      <family val="2"/>
    </font>
    <font>
      <i/>
      <vertAlign val="superscript"/>
      <sz val="14"/>
      <color rgb="FF222222"/>
      <name val="Arial"/>
      <family val="2"/>
    </font>
    <font>
      <sz val="22"/>
      <color rgb="FF006100"/>
      <name val="Calibri"/>
      <family val="2"/>
      <scheme val="minor"/>
    </font>
    <font>
      <vertAlign val="subscript"/>
      <sz val="20"/>
      <color theme="1"/>
      <name val="Helvetica Neue"/>
      <family val="2"/>
    </font>
    <font>
      <vertAlign val="superscript"/>
      <sz val="22"/>
      <color rgb="FF222222"/>
      <name val="Arial"/>
      <family val="2"/>
    </font>
    <font>
      <b/>
      <u/>
      <sz val="20"/>
      <color theme="1"/>
      <name val="Helvetica Neue"/>
      <family val="2"/>
    </font>
    <font>
      <sz val="16"/>
      <color theme="1"/>
      <name val="Helvetica Neue"/>
      <family val="2"/>
    </font>
    <font>
      <sz val="14"/>
      <color theme="1"/>
      <name val="Helvetica Neue"/>
      <family val="2"/>
    </font>
    <font>
      <sz val="12"/>
      <color theme="1"/>
      <name val="Helvetica Neue"/>
      <family val="2"/>
    </font>
    <font>
      <sz val="12"/>
      <color rgb="FF9C0006"/>
      <name val="Calibri"/>
      <family val="2"/>
      <scheme val="minor"/>
    </font>
    <font>
      <sz val="20"/>
      <color rgb="FFC00000"/>
      <name val="Helvetica Neue"/>
      <family val="2"/>
    </font>
    <font>
      <b/>
      <sz val="12"/>
      <color theme="1"/>
      <name val="Helvetica Neue"/>
      <family val="2"/>
    </font>
    <font>
      <b/>
      <sz val="20"/>
      <color theme="1"/>
      <name val="Helvetica Neue"/>
      <family val="2"/>
    </font>
    <font>
      <sz val="11"/>
      <color theme="1"/>
      <name val="Cambria Math"/>
      <family val="1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theme="1"/>
      <name val="Cambria Math"/>
      <family val="1"/>
    </font>
    <font>
      <sz val="16"/>
      <color rgb="FF3F3F7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  <font>
      <sz val="17"/>
      <color rgb="FF202122"/>
      <name val="Times New Roman"/>
      <family val="1"/>
    </font>
    <font>
      <sz val="28"/>
      <color rgb="FF282828"/>
      <name val="Helvetica Neue"/>
      <family val="2"/>
    </font>
    <font>
      <sz val="21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  <font>
      <sz val="12"/>
      <color rgb="FFFF0000"/>
      <name val="Calibri (Body)"/>
    </font>
    <font>
      <sz val="12"/>
      <color rgb="FF006100"/>
      <name val="Helvetica Neue"/>
      <family val="2"/>
    </font>
    <font>
      <b/>
      <sz val="12"/>
      <color rgb="FFFF0000"/>
      <name val="Helvetica Neue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color rgb="FF9C57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C00000"/>
      <name val="Calibri (Body)"/>
    </font>
    <font>
      <b/>
      <sz val="12"/>
      <color rgb="FF9C0006"/>
      <name val="Calibri"/>
      <family val="2"/>
      <scheme val="minor"/>
    </font>
    <font>
      <b/>
      <sz val="12"/>
      <color rgb="FF7030A0"/>
      <name val="Calibri (Body)"/>
    </font>
    <font>
      <b/>
      <sz val="12"/>
      <color rgb="FF00B050"/>
      <name val="Calibri (Body)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ck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thick">
        <color rgb="FFFF0000"/>
      </right>
      <top style="thick">
        <color rgb="FFFF0000"/>
      </top>
      <bottom style="hair">
        <color rgb="FFFF0000"/>
      </bottom>
      <diagonal/>
    </border>
    <border>
      <left style="thick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FF0000"/>
      </left>
      <right style="thick">
        <color rgb="FFFF0000"/>
      </right>
      <top style="hair">
        <color rgb="FFFF0000"/>
      </top>
      <bottom style="thick">
        <color rgb="FFFF0000"/>
      </bottom>
      <diagonal/>
    </border>
    <border>
      <left style="thick">
        <color rgb="FF0070C0"/>
      </left>
      <right style="hair">
        <color rgb="FF0070C0"/>
      </right>
      <top style="thick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thick">
        <color rgb="FF0070C0"/>
      </top>
      <bottom style="hair">
        <color rgb="FF0070C0"/>
      </bottom>
      <diagonal/>
    </border>
    <border>
      <left style="hair">
        <color rgb="FF0070C0"/>
      </left>
      <right style="thick">
        <color rgb="FF0070C0"/>
      </right>
      <top style="thick">
        <color rgb="FF0070C0"/>
      </top>
      <bottom style="hair">
        <color rgb="FF0070C0"/>
      </bottom>
      <diagonal/>
    </border>
    <border>
      <left style="thick">
        <color rgb="FF0070C0"/>
      </left>
      <right style="hair">
        <color rgb="FF0070C0"/>
      </right>
      <top style="hair">
        <color rgb="FF0070C0"/>
      </top>
      <bottom style="thick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thick">
        <color rgb="FF0070C0"/>
      </bottom>
      <diagonal/>
    </border>
    <border>
      <left style="hair">
        <color rgb="FF0070C0"/>
      </left>
      <right style="thick">
        <color rgb="FF0070C0"/>
      </right>
      <top style="hair">
        <color rgb="FF0070C0"/>
      </top>
      <bottom style="thick">
        <color rgb="FF0070C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ck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/>
      <right style="hair">
        <color rgb="FF0070C0"/>
      </right>
      <top style="thick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thick">
        <color rgb="FF0070C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7" fillId="6" borderId="0" applyNumberFormat="0" applyBorder="0" applyAlignment="0" applyProtection="0"/>
    <xf numFmtId="43" fontId="22" fillId="0" borderId="0" applyFont="0" applyFill="0" applyBorder="0" applyAlignment="0" applyProtection="0"/>
    <xf numFmtId="0" fontId="23" fillId="7" borderId="1" applyNumberFormat="0" applyAlignment="0" applyProtection="0"/>
    <xf numFmtId="0" fontId="28" fillId="8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</cellStyleXfs>
  <cellXfs count="20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5" fillId="0" borderId="0" xfId="0" applyFont="1" applyAlignment="1">
      <alignment wrapText="1"/>
    </xf>
    <xf numFmtId="0" fontId="10" fillId="2" borderId="0" xfId="1" applyFont="1"/>
    <xf numFmtId="0" fontId="1" fillId="2" borderId="0" xfId="1" applyAlignment="1">
      <alignment wrapText="1"/>
    </xf>
    <xf numFmtId="164" fontId="10" fillId="2" borderId="0" xfId="1" applyNumberFormat="1" applyFont="1"/>
    <xf numFmtId="0" fontId="13" fillId="3" borderId="0" xfId="0" applyFont="1" applyFill="1"/>
    <xf numFmtId="164" fontId="2" fillId="4" borderId="0" xfId="0" applyNumberFormat="1" applyFont="1" applyFill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" fillId="5" borderId="0" xfId="0" applyFont="1" applyFill="1"/>
    <xf numFmtId="0" fontId="16" fillId="0" borderId="0" xfId="0" applyFont="1"/>
    <xf numFmtId="11" fontId="2" fillId="0" borderId="0" xfId="0" applyNumberFormat="1" applyFont="1"/>
    <xf numFmtId="0" fontId="18" fillId="0" borderId="0" xfId="0" applyFont="1"/>
    <xf numFmtId="11" fontId="0" fillId="0" borderId="0" xfId="0" applyNumberFormat="1"/>
    <xf numFmtId="11" fontId="16" fillId="0" borderId="0" xfId="0" applyNumberFormat="1" applyFont="1"/>
    <xf numFmtId="0" fontId="19" fillId="0" borderId="0" xfId="0" applyFont="1" applyAlignment="1">
      <alignment wrapText="1"/>
    </xf>
    <xf numFmtId="0" fontId="20" fillId="0" borderId="0" xfId="0" applyFont="1"/>
    <xf numFmtId="0" fontId="16" fillId="0" borderId="0" xfId="0" applyFont="1" applyAlignment="1">
      <alignment horizontal="center"/>
    </xf>
    <xf numFmtId="0" fontId="17" fillId="6" borderId="0" xfId="2" applyAlignment="1">
      <alignment wrapText="1"/>
    </xf>
    <xf numFmtId="11" fontId="16" fillId="3" borderId="0" xfId="0" applyNumberFormat="1" applyFont="1" applyFill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7" fillId="6" borderId="0" xfId="2" applyNumberFormat="1"/>
    <xf numFmtId="0" fontId="2" fillId="0" borderId="0" xfId="0" applyFont="1" applyAlignment="1">
      <alignment vertical="center"/>
    </xf>
    <xf numFmtId="0" fontId="21" fillId="0" borderId="0" xfId="0" applyFont="1"/>
    <xf numFmtId="0" fontId="2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164" fontId="17" fillId="6" borderId="0" xfId="2" applyNumberFormat="1"/>
    <xf numFmtId="0" fontId="26" fillId="0" borderId="0" xfId="0" applyFont="1"/>
    <xf numFmtId="164" fontId="27" fillId="7" borderId="1" xfId="4" applyNumberFormat="1" applyFont="1"/>
    <xf numFmtId="166" fontId="14" fillId="0" borderId="0" xfId="3" applyNumberFormat="1" applyFont="1"/>
    <xf numFmtId="0" fontId="10" fillId="2" borderId="0" xfId="1" applyFont="1" applyAlignment="1">
      <alignment horizontal="right"/>
    </xf>
    <xf numFmtId="164" fontId="18" fillId="0" borderId="0" xfId="0" applyNumberFormat="1" applyFont="1"/>
    <xf numFmtId="0" fontId="0" fillId="0" borderId="0" xfId="0" quotePrefix="1"/>
    <xf numFmtId="9" fontId="0" fillId="0" borderId="0" xfId="0" applyNumberFormat="1"/>
    <xf numFmtId="0" fontId="29" fillId="0" borderId="0" xfId="0" applyFont="1"/>
    <xf numFmtId="0" fontId="28" fillId="8" borderId="0" xfId="5"/>
    <xf numFmtId="167" fontId="0" fillId="0" borderId="0" xfId="0" applyNumberFormat="1"/>
    <xf numFmtId="168" fontId="0" fillId="0" borderId="0" xfId="0" applyNumberFormat="1"/>
    <xf numFmtId="0" fontId="30" fillId="0" borderId="0" xfId="0" applyFont="1"/>
    <xf numFmtId="0" fontId="1" fillId="2" borderId="0" xfId="1"/>
    <xf numFmtId="2" fontId="0" fillId="0" borderId="0" xfId="0" applyNumberFormat="1"/>
    <xf numFmtId="2" fontId="1" fillId="2" borderId="0" xfId="1" applyNumberFormat="1"/>
    <xf numFmtId="0" fontId="31" fillId="0" borderId="0" xfId="0" applyFont="1"/>
    <xf numFmtId="0" fontId="32" fillId="0" borderId="0" xfId="0" applyFont="1"/>
    <xf numFmtId="0" fontId="33" fillId="0" borderId="0" xfId="0" applyFont="1"/>
    <xf numFmtId="2" fontId="3" fillId="0" borderId="0" xfId="0" applyNumberFormat="1" applyFont="1"/>
    <xf numFmtId="11" fontId="0" fillId="0" borderId="0" xfId="3" applyNumberFormat="1" applyFont="1"/>
    <xf numFmtId="11" fontId="1" fillId="2" borderId="0" xfId="1" applyNumberFormat="1"/>
    <xf numFmtId="0" fontId="0" fillId="10" borderId="0" xfId="0" applyFill="1"/>
    <xf numFmtId="11" fontId="0" fillId="10" borderId="0" xfId="0" applyNumberFormat="1" applyFill="1"/>
    <xf numFmtId="0" fontId="16" fillId="9" borderId="0" xfId="0" applyFont="1" applyFill="1" applyAlignment="1">
      <alignment horizontal="center"/>
    </xf>
    <xf numFmtId="0" fontId="35" fillId="2" borderId="20" xfId="1" applyFont="1" applyBorder="1" applyAlignment="1">
      <alignment horizontal="left"/>
    </xf>
    <xf numFmtId="0" fontId="16" fillId="0" borderId="14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7" xfId="0" applyFont="1" applyBorder="1" applyAlignment="1">
      <alignment horizontal="right"/>
    </xf>
    <xf numFmtId="43" fontId="16" fillId="0" borderId="18" xfId="3" applyFont="1" applyBorder="1" applyAlignment="1">
      <alignment horizontal="right"/>
    </xf>
    <xf numFmtId="43" fontId="16" fillId="9" borderId="19" xfId="3" applyFont="1" applyFill="1" applyBorder="1" applyAlignment="1">
      <alignment horizontal="right"/>
    </xf>
    <xf numFmtId="43" fontId="16" fillId="0" borderId="0" xfId="3" applyFont="1" applyAlignment="1">
      <alignment horizontal="right"/>
    </xf>
    <xf numFmtId="166" fontId="16" fillId="0" borderId="0" xfId="3" applyNumberFormat="1" applyFont="1" applyAlignment="1">
      <alignment horizontal="center"/>
    </xf>
    <xf numFmtId="43" fontId="16" fillId="9" borderId="0" xfId="3" applyFont="1" applyFill="1" applyAlignment="1">
      <alignment horizontal="right"/>
    </xf>
    <xf numFmtId="43" fontId="16" fillId="0" borderId="15" xfId="3" applyFont="1" applyBorder="1" applyAlignment="1">
      <alignment horizontal="right"/>
    </xf>
    <xf numFmtId="43" fontId="16" fillId="9" borderId="16" xfId="3" applyFont="1" applyFill="1" applyBorder="1" applyAlignment="1">
      <alignment horizontal="right"/>
    </xf>
    <xf numFmtId="0" fontId="16" fillId="0" borderId="8" xfId="0" applyFont="1" applyBorder="1" applyAlignment="1">
      <alignment horizontal="right"/>
    </xf>
    <xf numFmtId="43" fontId="16" fillId="0" borderId="9" xfId="3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43" fontId="16" fillId="9" borderId="10" xfId="3" applyFont="1" applyFill="1" applyBorder="1" applyAlignment="1">
      <alignment horizontal="right"/>
    </xf>
    <xf numFmtId="0" fontId="16" fillId="0" borderId="11" xfId="0" applyFont="1" applyBorder="1" applyAlignment="1">
      <alignment horizontal="right"/>
    </xf>
    <xf numFmtId="43" fontId="16" fillId="0" borderId="12" xfId="3" applyFont="1" applyBorder="1" applyAlignment="1">
      <alignment horizontal="right"/>
    </xf>
    <xf numFmtId="43" fontId="16" fillId="9" borderId="13" xfId="3" applyFont="1" applyFill="1" applyBorder="1" applyAlignment="1">
      <alignment horizontal="right"/>
    </xf>
    <xf numFmtId="43" fontId="16" fillId="0" borderId="10" xfId="3" applyFont="1" applyBorder="1" applyAlignment="1">
      <alignment horizontal="right"/>
    </xf>
    <xf numFmtId="43" fontId="16" fillId="0" borderId="13" xfId="3" applyFont="1" applyBorder="1" applyAlignment="1">
      <alignment horizontal="right"/>
    </xf>
    <xf numFmtId="0" fontId="16" fillId="0" borderId="2" xfId="0" applyFont="1" applyBorder="1" applyAlignment="1">
      <alignment horizontal="right"/>
    </xf>
    <xf numFmtId="43" fontId="16" fillId="0" borderId="3" xfId="3" applyFont="1" applyBorder="1" applyAlignment="1">
      <alignment horizontal="right"/>
    </xf>
    <xf numFmtId="0" fontId="16" fillId="0" borderId="3" xfId="0" applyFont="1" applyBorder="1" applyAlignment="1">
      <alignment horizontal="right"/>
    </xf>
    <xf numFmtId="43" fontId="16" fillId="9" borderId="3" xfId="3" applyFont="1" applyFill="1" applyBorder="1" applyAlignment="1">
      <alignment horizontal="right"/>
    </xf>
    <xf numFmtId="43" fontId="16" fillId="0" borderId="4" xfId="3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43" fontId="16" fillId="0" borderId="6" xfId="3" applyFont="1" applyBorder="1" applyAlignment="1">
      <alignment horizontal="right"/>
    </xf>
    <xf numFmtId="43" fontId="16" fillId="9" borderId="6" xfId="3" applyFont="1" applyFill="1" applyBorder="1" applyAlignment="1">
      <alignment horizontal="right"/>
    </xf>
    <xf numFmtId="43" fontId="16" fillId="0" borderId="7" xfId="3" applyFont="1" applyBorder="1" applyAlignment="1">
      <alignment horizontal="right"/>
    </xf>
    <xf numFmtId="168" fontId="16" fillId="9" borderId="0" xfId="0" applyNumberFormat="1" applyFont="1" applyFill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right"/>
    </xf>
    <xf numFmtId="43" fontId="16" fillId="0" borderId="22" xfId="3" applyFont="1" applyBorder="1" applyAlignment="1">
      <alignment horizontal="righ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43" fontId="16" fillId="0" borderId="25" xfId="0" applyNumberFormat="1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27" xfId="0" applyFont="1" applyBorder="1" applyAlignment="1">
      <alignment horizontal="right"/>
    </xf>
    <xf numFmtId="0" fontId="16" fillId="0" borderId="28" xfId="0" applyFont="1" applyBorder="1" applyAlignment="1">
      <alignment horizontal="right"/>
    </xf>
    <xf numFmtId="0" fontId="36" fillId="9" borderId="16" xfId="0" applyFont="1" applyFill="1" applyBorder="1" applyAlignment="1">
      <alignment horizontal="right"/>
    </xf>
    <xf numFmtId="43" fontId="36" fillId="9" borderId="19" xfId="3" applyFont="1" applyFill="1" applyBorder="1" applyAlignment="1">
      <alignment horizontal="right"/>
    </xf>
    <xf numFmtId="0" fontId="37" fillId="15" borderId="0" xfId="0" applyFont="1" applyFill="1"/>
    <xf numFmtId="169" fontId="37" fillId="0" borderId="0" xfId="0" applyNumberFormat="1" applyFont="1"/>
    <xf numFmtId="169" fontId="37" fillId="11" borderId="0" xfId="0" applyNumberFormat="1" applyFont="1" applyFill="1"/>
    <xf numFmtId="0" fontId="39" fillId="0" borderId="0" xfId="0" applyFont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29" fillId="0" borderId="33" xfId="0" applyNumberFormat="1" applyFont="1" applyBorder="1" applyAlignment="1">
      <alignment horizontal="center" vertical="center"/>
    </xf>
    <xf numFmtId="49" fontId="17" fillId="6" borderId="33" xfId="2" applyNumberForma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40" fillId="0" borderId="33" xfId="0" applyFont="1" applyBorder="1"/>
    <xf numFmtId="0" fontId="17" fillId="6" borderId="33" xfId="2" applyBorder="1" applyAlignment="1">
      <alignment horizontal="center"/>
    </xf>
    <xf numFmtId="0" fontId="0" fillId="0" borderId="33" xfId="0" applyBorder="1" applyAlignment="1">
      <alignment horizontal="center" vertical="center"/>
    </xf>
    <xf numFmtId="11" fontId="0" fillId="0" borderId="34" xfId="0" applyNumberForma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29" fillId="0" borderId="36" xfId="0" applyNumberFormat="1" applyFont="1" applyBorder="1" applyAlignment="1">
      <alignment horizontal="center" vertical="center"/>
    </xf>
    <xf numFmtId="49" fontId="17" fillId="6" borderId="36" xfId="2" applyNumberFormat="1" applyBorder="1" applyAlignment="1">
      <alignment horizontal="center" vertical="center"/>
    </xf>
    <xf numFmtId="49" fontId="22" fillId="14" borderId="36" xfId="8" applyNumberForma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40" fillId="0" borderId="36" xfId="0" applyFont="1" applyBorder="1"/>
    <xf numFmtId="0" fontId="17" fillId="6" borderId="36" xfId="2" applyBorder="1" applyAlignment="1">
      <alignment horizontal="center"/>
    </xf>
    <xf numFmtId="0" fontId="0" fillId="0" borderId="36" xfId="0" applyBorder="1" applyAlignment="1">
      <alignment horizontal="center" vertical="center"/>
    </xf>
    <xf numFmtId="11" fontId="0" fillId="0" borderId="37" xfId="0" applyNumberFormat="1" applyBorder="1" applyAlignment="1">
      <alignment horizontal="center"/>
    </xf>
    <xf numFmtId="0" fontId="41" fillId="0" borderId="36" xfId="0" applyFont="1" applyBorder="1"/>
    <xf numFmtId="49" fontId="22" fillId="12" borderId="36" xfId="6" applyNumberFormat="1" applyBorder="1" applyAlignment="1">
      <alignment horizontal="center" vertical="center"/>
    </xf>
    <xf numFmtId="0" fontId="28" fillId="8" borderId="36" xfId="5" applyBorder="1" applyAlignment="1">
      <alignment horizontal="center"/>
    </xf>
    <xf numFmtId="0" fontId="42" fillId="0" borderId="36" xfId="0" applyFont="1" applyBorder="1"/>
    <xf numFmtId="0" fontId="1" fillId="2" borderId="36" xfId="1" applyBorder="1" applyAlignment="1">
      <alignment horizontal="center"/>
    </xf>
    <xf numFmtId="49" fontId="17" fillId="6" borderId="35" xfId="2" applyNumberFormat="1" applyBorder="1" applyAlignment="1">
      <alignment horizontal="center" vertical="center"/>
    </xf>
    <xf numFmtId="0" fontId="0" fillId="0" borderId="36" xfId="0" applyBorder="1"/>
    <xf numFmtId="49" fontId="22" fillId="12" borderId="35" xfId="6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7" fillId="6" borderId="33" xfId="2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9" fontId="22" fillId="12" borderId="38" xfId="6" applyNumberFormat="1" applyBorder="1" applyAlignment="1">
      <alignment horizontal="center" vertical="center"/>
    </xf>
    <xf numFmtId="49" fontId="22" fillId="12" borderId="39" xfId="6" applyNumberFormat="1" applyBorder="1" applyAlignment="1">
      <alignment horizontal="center" vertical="center"/>
    </xf>
    <xf numFmtId="49" fontId="29" fillId="0" borderId="39" xfId="0" applyNumberFormat="1" applyFont="1" applyBorder="1" applyAlignment="1">
      <alignment horizontal="center" vertical="center"/>
    </xf>
    <xf numFmtId="49" fontId="22" fillId="14" borderId="39" xfId="8" applyNumberForma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28" fillId="8" borderId="39" xfId="5" applyBorder="1" applyAlignment="1">
      <alignment horizontal="center"/>
    </xf>
    <xf numFmtId="0" fontId="0" fillId="0" borderId="39" xfId="0" applyBorder="1" applyAlignment="1">
      <alignment horizontal="center" vertical="center"/>
    </xf>
    <xf numFmtId="11" fontId="0" fillId="0" borderId="40" xfId="0" applyNumberFormat="1" applyBorder="1" applyAlignment="1">
      <alignment horizontal="center"/>
    </xf>
    <xf numFmtId="49" fontId="22" fillId="12" borderId="41" xfId="6" applyNumberFormat="1" applyBorder="1" applyAlignment="1">
      <alignment horizontal="center" vertical="center"/>
    </xf>
    <xf numFmtId="49" fontId="22" fillId="12" borderId="42" xfId="6" applyNumberFormat="1" applyBorder="1" applyAlignment="1">
      <alignment horizontal="center" vertical="center"/>
    </xf>
    <xf numFmtId="0" fontId="0" fillId="0" borderId="43" xfId="0" applyBorder="1"/>
    <xf numFmtId="49" fontId="29" fillId="0" borderId="42" xfId="0" applyNumberFormat="1" applyFont="1" applyBorder="1" applyAlignment="1">
      <alignment horizontal="center" vertical="center"/>
    </xf>
    <xf numFmtId="0" fontId="0" fillId="0" borderId="42" xfId="0" applyBorder="1"/>
    <xf numFmtId="16" fontId="0" fillId="0" borderId="42" xfId="0" applyNumberFormat="1" applyBorder="1" applyAlignment="1">
      <alignment horizontal="center"/>
    </xf>
    <xf numFmtId="0" fontId="42" fillId="0" borderId="42" xfId="0" applyFont="1" applyBorder="1"/>
    <xf numFmtId="0" fontId="1" fillId="2" borderId="42" xfId="1" applyBorder="1" applyAlignment="1">
      <alignment horizontal="center"/>
    </xf>
    <xf numFmtId="0" fontId="0" fillId="0" borderId="42" xfId="0" applyBorder="1" applyAlignment="1">
      <alignment horizontal="center" vertical="center"/>
    </xf>
    <xf numFmtId="11" fontId="0" fillId="0" borderId="44" xfId="0" applyNumberFormat="1" applyBorder="1" applyAlignment="1">
      <alignment horizontal="center"/>
    </xf>
    <xf numFmtId="0" fontId="28" fillId="8" borderId="36" xfId="5" applyBorder="1" applyAlignment="1">
      <alignment horizontal="center" vertical="center"/>
    </xf>
    <xf numFmtId="49" fontId="22" fillId="12" borderId="32" xfId="6" applyNumberFormat="1" applyBorder="1" applyAlignment="1">
      <alignment horizontal="center" vertical="center"/>
    </xf>
    <xf numFmtId="49" fontId="22" fillId="12" borderId="33" xfId="6" applyNumberFormat="1" applyBorder="1" applyAlignment="1">
      <alignment horizontal="center" vertical="center"/>
    </xf>
    <xf numFmtId="49" fontId="22" fillId="14" borderId="33" xfId="8" applyNumberFormat="1" applyBorder="1" applyAlignment="1">
      <alignment horizontal="center" vertical="center"/>
    </xf>
    <xf numFmtId="0" fontId="0" fillId="0" borderId="33" xfId="0" applyBorder="1"/>
    <xf numFmtId="0" fontId="1" fillId="2" borderId="33" xfId="1" applyBorder="1" applyAlignment="1">
      <alignment horizontal="center"/>
    </xf>
    <xf numFmtId="0" fontId="1" fillId="2" borderId="35" xfId="1" applyBorder="1" applyAlignment="1">
      <alignment horizontal="center" vertical="center"/>
    </xf>
    <xf numFmtId="0" fontId="17" fillId="6" borderId="36" xfId="2" applyBorder="1" applyAlignment="1">
      <alignment horizontal="center" vertical="center"/>
    </xf>
    <xf numFmtId="0" fontId="43" fillId="8" borderId="36" xfId="5" applyFont="1" applyBorder="1" applyAlignment="1">
      <alignment horizontal="center" vertical="center"/>
    </xf>
    <xf numFmtId="0" fontId="1" fillId="2" borderId="36" xfId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17" fillId="6" borderId="48" xfId="2" applyNumberFormat="1" applyBorder="1" applyAlignment="1">
      <alignment horizontal="center" vertical="center"/>
    </xf>
    <xf numFmtId="49" fontId="22" fillId="14" borderId="48" xfId="8" applyNumberForma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40" fillId="0" borderId="48" xfId="0" applyFont="1" applyBorder="1"/>
    <xf numFmtId="0" fontId="44" fillId="0" borderId="0" xfId="0" applyFont="1"/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17" fillId="6" borderId="39" xfId="2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40" fillId="0" borderId="39" xfId="0" applyFont="1" applyBorder="1"/>
    <xf numFmtId="0" fontId="17" fillId="6" borderId="39" xfId="2" applyBorder="1" applyAlignment="1">
      <alignment horizontal="center"/>
    </xf>
    <xf numFmtId="0" fontId="0" fillId="0" borderId="0" xfId="0" applyAlignment="1">
      <alignment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7" fillId="6" borderId="33" xfId="2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38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46" fillId="6" borderId="46" xfId="2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/>
    </xf>
    <xf numFmtId="0" fontId="38" fillId="0" borderId="47" xfId="0" applyFont="1" applyBorder="1" applyAlignment="1">
      <alignment horizontal="center" vertical="center" wrapText="1"/>
    </xf>
    <xf numFmtId="0" fontId="22" fillId="12" borderId="36" xfId="6" applyBorder="1"/>
    <xf numFmtId="0" fontId="22" fillId="13" borderId="36" xfId="7" applyBorder="1"/>
    <xf numFmtId="0" fontId="0" fillId="16" borderId="36" xfId="0" applyFill="1" applyBorder="1"/>
    <xf numFmtId="0" fontId="0" fillId="13" borderId="36" xfId="7" applyFont="1" applyBorder="1"/>
    <xf numFmtId="16" fontId="0" fillId="16" borderId="36" xfId="0" applyNumberFormat="1" applyFill="1" applyBorder="1"/>
    <xf numFmtId="16" fontId="0" fillId="17" borderId="36" xfId="0" applyNumberFormat="1" applyFill="1" applyBorder="1" applyAlignment="1">
      <alignment horizontal="center"/>
    </xf>
    <xf numFmtId="0" fontId="0" fillId="0" borderId="36" xfId="0" applyBorder="1" applyAlignment="1">
      <alignment wrapText="1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0" fontId="16" fillId="9" borderId="29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29" fillId="0" borderId="0" xfId="0" applyFont="1" applyAlignment="1">
      <alignment horizontal="right" vertical="top" textRotation="255"/>
    </xf>
  </cellXfs>
  <cellStyles count="9">
    <cellStyle name="20% - Accent1" xfId="6" builtinId="30"/>
    <cellStyle name="40% - Accent1" xfId="7" builtinId="31"/>
    <cellStyle name="60% - Accent4" xfId="8" builtinId="44"/>
    <cellStyle name="Bad" xfId="2" builtinId="27"/>
    <cellStyle name="Comma" xfId="3" builtinId="3"/>
    <cellStyle name="Good" xfId="1" builtinId="26"/>
    <cellStyle name="Input" xfId="4" builtinId="20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8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4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3.xml"/><Relationship Id="rId19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defRPr>
            </a:pPr>
            <a:r>
              <a:rPr lang="en-US" sz="2400" b="1"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rPr>
              <a:t>Lorentz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Lorentz!$A$3:$A$38</c:f>
              <c:numCache>
                <c:formatCode>0.00E+00</c:formatCode>
                <c:ptCount val="36"/>
                <c:pt idx="0">
                  <c:v>1E-35</c:v>
                </c:pt>
                <c:pt idx="1">
                  <c:v>9.9999999999999993E-35</c:v>
                </c:pt>
                <c:pt idx="2">
                  <c:v>9.9999999999999988E-34</c:v>
                </c:pt>
                <c:pt idx="3">
                  <c:v>9.9999999999999992E-33</c:v>
                </c:pt>
                <c:pt idx="4">
                  <c:v>9.9999999999999986E-32</c:v>
                </c:pt>
                <c:pt idx="5">
                  <c:v>9.9999999999999991E-31</c:v>
                </c:pt>
                <c:pt idx="6">
                  <c:v>9.9999999999999994E-30</c:v>
                </c:pt>
                <c:pt idx="7">
                  <c:v>9.9999999999999997E-29</c:v>
                </c:pt>
                <c:pt idx="8">
                  <c:v>1E-27</c:v>
                </c:pt>
                <c:pt idx="9">
                  <c:v>1E-26</c:v>
                </c:pt>
                <c:pt idx="10">
                  <c:v>1E-25</c:v>
                </c:pt>
                <c:pt idx="11">
                  <c:v>1.0000000000000001E-24</c:v>
                </c:pt>
                <c:pt idx="12">
                  <c:v>1.0000000000000001E-23</c:v>
                </c:pt>
                <c:pt idx="13">
                  <c:v>1E-22</c:v>
                </c:pt>
                <c:pt idx="14">
                  <c:v>1.0000000000000001E-21</c:v>
                </c:pt>
                <c:pt idx="15">
                  <c:v>1.0000000000000001E-20</c:v>
                </c:pt>
                <c:pt idx="16">
                  <c:v>1.0000000000000001E-19</c:v>
                </c:pt>
                <c:pt idx="17">
                  <c:v>1.0000000000000001E-18</c:v>
                </c:pt>
                <c:pt idx="18">
                  <c:v>1.0000000000000001E-17</c:v>
                </c:pt>
                <c:pt idx="19">
                  <c:v>1.0000000000000001E-16</c:v>
                </c:pt>
                <c:pt idx="20">
                  <c:v>1.0000000000000001E-15</c:v>
                </c:pt>
                <c:pt idx="21">
                  <c:v>1.0000000000000002E-14</c:v>
                </c:pt>
                <c:pt idx="22">
                  <c:v>1.0000000000000002E-13</c:v>
                </c:pt>
                <c:pt idx="23">
                  <c:v>1.0000000000000002E-12</c:v>
                </c:pt>
                <c:pt idx="24">
                  <c:v>1.0000000000000001E-11</c:v>
                </c:pt>
                <c:pt idx="25">
                  <c:v>1.0000000000000002E-10</c:v>
                </c:pt>
                <c:pt idx="26">
                  <c:v>1.0000000000000003E-9</c:v>
                </c:pt>
                <c:pt idx="27">
                  <c:v>1.0000000000000004E-8</c:v>
                </c:pt>
                <c:pt idx="28">
                  <c:v>1.0000000000000004E-7</c:v>
                </c:pt>
                <c:pt idx="29">
                  <c:v>1.0000000000000004E-6</c:v>
                </c:pt>
                <c:pt idx="30">
                  <c:v>1.0000000000000004E-5</c:v>
                </c:pt>
                <c:pt idx="31">
                  <c:v>1.0000000000000005E-4</c:v>
                </c:pt>
                <c:pt idx="32">
                  <c:v>1.0000000000000005E-3</c:v>
                </c:pt>
                <c:pt idx="33">
                  <c:v>1.0000000000000005E-2</c:v>
                </c:pt>
                <c:pt idx="34">
                  <c:v>0.10000000000000006</c:v>
                </c:pt>
                <c:pt idx="35">
                  <c:v>1</c:v>
                </c:pt>
              </c:numCache>
            </c:numRef>
          </c:cat>
          <c:val>
            <c:numRef>
              <c:f>Lorentz!$C$3:$C$38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1.4901161193847656E-8</c:v>
                </c:pt>
                <c:pt idx="20">
                  <c:v>4.4703483581542969E-8</c:v>
                </c:pt>
                <c:pt idx="21">
                  <c:v>1.4136482746161726E-7</c:v>
                </c:pt>
                <c:pt idx="22">
                  <c:v>4.4728311955343587E-7</c:v>
                </c:pt>
                <c:pt idx="23">
                  <c:v>1.4141979198682754E-6</c:v>
                </c:pt>
                <c:pt idx="24">
                  <c:v>4.4721361400126692E-6</c:v>
                </c:pt>
                <c:pt idx="25">
                  <c:v>1.4142136208793713E-5</c:v>
                </c:pt>
                <c:pt idx="26">
                  <c:v>4.4721358917592574E-5</c:v>
                </c:pt>
                <c:pt idx="27">
                  <c:v>1.4142135620009053E-4</c:v>
                </c:pt>
                <c:pt idx="28">
                  <c:v>4.4721358421085739E-4</c:v>
                </c:pt>
                <c:pt idx="29">
                  <c:v>1.4142132088478148E-3</c:v>
                </c:pt>
                <c:pt idx="30">
                  <c:v>4.4721247746346152E-3</c:v>
                </c:pt>
                <c:pt idx="31">
                  <c:v>1.4141782065918275E-2</c:v>
                </c:pt>
                <c:pt idx="32">
                  <c:v>4.4710177812216013E-2</c:v>
                </c:pt>
                <c:pt idx="33">
                  <c:v>0.14106735979665894</c:v>
                </c:pt>
                <c:pt idx="34">
                  <c:v>0.43588989435406755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C-BA4C-A885-C5753D95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07536"/>
        <c:axId val="244941296"/>
      </c:lineChart>
      <c:catAx>
        <c:axId val="244907536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41296"/>
        <c:crosses val="autoZero"/>
        <c:auto val="1"/>
        <c:lblAlgn val="ctr"/>
        <c:lblOffset val="100"/>
        <c:noMultiLvlLbl val="0"/>
      </c:catAx>
      <c:valAx>
        <c:axId val="2449412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defRPr>
            </a:pPr>
            <a:r>
              <a:rPr lang="en-US" sz="2400" b="1"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rPr>
              <a:t>Lorentz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Lorentz!$A$3:$A$38</c:f>
              <c:numCache>
                <c:formatCode>0.00E+00</c:formatCode>
                <c:ptCount val="36"/>
                <c:pt idx="0">
                  <c:v>1E-35</c:v>
                </c:pt>
                <c:pt idx="1">
                  <c:v>9.9999999999999993E-35</c:v>
                </c:pt>
                <c:pt idx="2">
                  <c:v>9.9999999999999988E-34</c:v>
                </c:pt>
                <c:pt idx="3">
                  <c:v>9.9999999999999992E-33</c:v>
                </c:pt>
                <c:pt idx="4">
                  <c:v>9.9999999999999986E-32</c:v>
                </c:pt>
                <c:pt idx="5">
                  <c:v>9.9999999999999991E-31</c:v>
                </c:pt>
                <c:pt idx="6">
                  <c:v>9.9999999999999994E-30</c:v>
                </c:pt>
                <c:pt idx="7">
                  <c:v>9.9999999999999997E-29</c:v>
                </c:pt>
                <c:pt idx="8">
                  <c:v>1E-27</c:v>
                </c:pt>
                <c:pt idx="9">
                  <c:v>1E-26</c:v>
                </c:pt>
                <c:pt idx="10">
                  <c:v>1E-25</c:v>
                </c:pt>
                <c:pt idx="11">
                  <c:v>1.0000000000000001E-24</c:v>
                </c:pt>
                <c:pt idx="12">
                  <c:v>1.0000000000000001E-23</c:v>
                </c:pt>
                <c:pt idx="13">
                  <c:v>1E-22</c:v>
                </c:pt>
                <c:pt idx="14">
                  <c:v>1.0000000000000001E-21</c:v>
                </c:pt>
                <c:pt idx="15">
                  <c:v>1.0000000000000001E-20</c:v>
                </c:pt>
                <c:pt idx="16">
                  <c:v>1.0000000000000001E-19</c:v>
                </c:pt>
                <c:pt idx="17">
                  <c:v>1.0000000000000001E-18</c:v>
                </c:pt>
                <c:pt idx="18">
                  <c:v>1.0000000000000001E-17</c:v>
                </c:pt>
                <c:pt idx="19">
                  <c:v>1.0000000000000001E-16</c:v>
                </c:pt>
                <c:pt idx="20">
                  <c:v>1.0000000000000001E-15</c:v>
                </c:pt>
                <c:pt idx="21">
                  <c:v>1.0000000000000002E-14</c:v>
                </c:pt>
                <c:pt idx="22">
                  <c:v>1.0000000000000002E-13</c:v>
                </c:pt>
                <c:pt idx="23">
                  <c:v>1.0000000000000002E-12</c:v>
                </c:pt>
                <c:pt idx="24">
                  <c:v>1.0000000000000001E-11</c:v>
                </c:pt>
                <c:pt idx="25">
                  <c:v>1.0000000000000002E-10</c:v>
                </c:pt>
                <c:pt idx="26">
                  <c:v>1.0000000000000003E-9</c:v>
                </c:pt>
                <c:pt idx="27">
                  <c:v>1.0000000000000004E-8</c:v>
                </c:pt>
                <c:pt idx="28">
                  <c:v>1.0000000000000004E-7</c:v>
                </c:pt>
                <c:pt idx="29">
                  <c:v>1.0000000000000004E-6</c:v>
                </c:pt>
                <c:pt idx="30">
                  <c:v>1.0000000000000004E-5</c:v>
                </c:pt>
                <c:pt idx="31">
                  <c:v>1.0000000000000005E-4</c:v>
                </c:pt>
                <c:pt idx="32">
                  <c:v>1.0000000000000005E-3</c:v>
                </c:pt>
                <c:pt idx="33">
                  <c:v>1.0000000000000005E-2</c:v>
                </c:pt>
                <c:pt idx="34">
                  <c:v>0.10000000000000006</c:v>
                </c:pt>
                <c:pt idx="35">
                  <c:v>1</c:v>
                </c:pt>
              </c:numCache>
            </c:numRef>
          </c:xVal>
          <c:yVal>
            <c:numRef>
              <c:f>Lorentz!$C$3:$C$38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1.4901161193847656E-8</c:v>
                </c:pt>
                <c:pt idx="20">
                  <c:v>4.4703483581542969E-8</c:v>
                </c:pt>
                <c:pt idx="21">
                  <c:v>1.4136482746161726E-7</c:v>
                </c:pt>
                <c:pt idx="22">
                  <c:v>4.4728311955343587E-7</c:v>
                </c:pt>
                <c:pt idx="23">
                  <c:v>1.4141979198682754E-6</c:v>
                </c:pt>
                <c:pt idx="24">
                  <c:v>4.4721361400126692E-6</c:v>
                </c:pt>
                <c:pt idx="25">
                  <c:v>1.4142136208793713E-5</c:v>
                </c:pt>
                <c:pt idx="26">
                  <c:v>4.4721358917592574E-5</c:v>
                </c:pt>
                <c:pt idx="27">
                  <c:v>1.4142135620009053E-4</c:v>
                </c:pt>
                <c:pt idx="28">
                  <c:v>4.4721358421085739E-4</c:v>
                </c:pt>
                <c:pt idx="29">
                  <c:v>1.4142132088478148E-3</c:v>
                </c:pt>
                <c:pt idx="30">
                  <c:v>4.4721247746346152E-3</c:v>
                </c:pt>
                <c:pt idx="31">
                  <c:v>1.4141782065918275E-2</c:v>
                </c:pt>
                <c:pt idx="32">
                  <c:v>4.4710177812216013E-2</c:v>
                </c:pt>
                <c:pt idx="33">
                  <c:v>0.14106735979665894</c:v>
                </c:pt>
                <c:pt idx="34">
                  <c:v>0.43588989435406755</c:v>
                </c:pt>
                <c:pt idx="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8-004C-999D-2C3412636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907536"/>
        <c:axId val="244941296"/>
      </c:scatterChart>
      <c:valAx>
        <c:axId val="244907536"/>
        <c:scaling>
          <c:logBase val="10"/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41296"/>
        <c:crosses val="autoZero"/>
        <c:crossBetween val="midCat"/>
      </c:valAx>
      <c:valAx>
        <c:axId val="244941296"/>
        <c:scaling>
          <c:logBase val="10"/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0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Energy of the Electron, Muon, and Tau Particles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C-9842-915B-485E2D8CE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C-9842-915B-485E2D8CEAD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C-9842-915B-485E2D8CEADE}"/>
              </c:ext>
            </c:extLst>
          </c:dPt>
          <c:cat>
            <c:strRef>
              <c:f>'Apparent and Shielded Energy'!$D$4:$F$4</c:f>
              <c:strCache>
                <c:ptCount val="3"/>
                <c:pt idx="0">
                  <c:v>electron</c:v>
                </c:pt>
                <c:pt idx="1">
                  <c:v>muon</c:v>
                </c:pt>
                <c:pt idx="2">
                  <c:v>tau</c:v>
                </c:pt>
              </c:strCache>
            </c:strRef>
          </c:cat>
          <c:val>
            <c:numRef>
              <c:f>'Apparent and Shielded Energy'!$D$5:$F$5</c:f>
              <c:numCache>
                <c:formatCode>_(* #,##0.00_);_(* \(#,##0.00\);_(* "-"??_);_(@_)</c:formatCode>
                <c:ptCount val="3"/>
                <c:pt idx="0">
                  <c:v>0.51100000000000001</c:v>
                </c:pt>
                <c:pt idx="1">
                  <c:v>105.66</c:v>
                </c:pt>
                <c:pt idx="2">
                  <c:v>1776.8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CC-9842-915B-485E2D8CE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Energy of the Up, Charm, and Top Quark Particles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B-AD41-B5F6-33663114D9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B-AD41-B5F6-33663114D9E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FB-AD41-B5F6-33663114D9EE}"/>
              </c:ext>
            </c:extLst>
          </c:dPt>
          <c:cat>
            <c:strRef>
              <c:f>'Apparent and Shielded Energy'!$D$12:$F$12</c:f>
              <c:strCache>
                <c:ptCount val="3"/>
                <c:pt idx="0">
                  <c:v> up </c:v>
                </c:pt>
                <c:pt idx="1">
                  <c:v> charm </c:v>
                </c:pt>
                <c:pt idx="2">
                  <c:v> top </c:v>
                </c:pt>
              </c:strCache>
            </c:strRef>
          </c:cat>
          <c:val>
            <c:numRef>
              <c:f>'Apparent and Shielded Energy'!$D$13:$F$13</c:f>
              <c:numCache>
                <c:formatCode>_(* #,##0.00_);_(* \(#,##0.00\);_(* "-"??_);_(@_)</c:formatCode>
                <c:ptCount val="3"/>
                <c:pt idx="0">
                  <c:v>2.2000000000000002</c:v>
                </c:pt>
                <c:pt idx="1">
                  <c:v>1280</c:v>
                </c:pt>
                <c:pt idx="2">
                  <c:v>173100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FB-AD41-B5F6-33663114D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of the Down, Strange, and Bottom Quark Particles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AE-304C-95C8-C59221D70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AE-304C-95C8-C59221D70CAB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AE-304C-95C8-C59221D70CAB}"/>
              </c:ext>
            </c:extLst>
          </c:dPt>
          <c:cat>
            <c:strRef>
              <c:f>'Apparent and Shielded Energy'!$D$8:$F$8</c:f>
              <c:strCache>
                <c:ptCount val="3"/>
                <c:pt idx="0">
                  <c:v> down </c:v>
                </c:pt>
                <c:pt idx="1">
                  <c:v> strange </c:v>
                </c:pt>
                <c:pt idx="2">
                  <c:v> bottom </c:v>
                </c:pt>
              </c:strCache>
            </c:strRef>
          </c:cat>
          <c:val>
            <c:numRef>
              <c:f>'Apparent and Shielded Energy'!$D$9:$F$9</c:f>
              <c:numCache>
                <c:formatCode>_(* #,##0.00_);_(* \(#,##0.00\);_(* "-"??_);_(@_)</c:formatCode>
                <c:ptCount val="3"/>
                <c:pt idx="0">
                  <c:v>4.7</c:v>
                </c:pt>
                <c:pt idx="1">
                  <c:v>96</c:v>
                </c:pt>
                <c:pt idx="2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AE-304C-95C8-C59221D7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point charges in an</a:t>
            </a:r>
            <a:r>
              <a:rPr lang="en-US" baseline="0"/>
              <a:t> average human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'charges per x'!$C$5</c:f>
              <c:strCache>
                <c:ptCount val="1"/>
                <c:pt idx="0">
                  <c:v>point charges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C5-CA42-9D98-8B0486A2D5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C5-CA42-9D98-8B0486A2D5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C5-CA42-9D98-8B0486A2D5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C5-CA42-9D98-8B0486A2D57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C5-CA42-9D98-8B0486A2D57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CC5-CA42-9D98-8B0486A2D57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CC5-CA42-9D98-8B0486A2D57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CC5-CA42-9D98-8B0486A2D57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CC5-CA42-9D98-8B0486A2D57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CC5-CA42-9D98-8B0486A2D57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CC5-CA42-9D98-8B0486A2D57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CC5-CA42-9D98-8B0486A2D57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CC5-CA42-9D98-8B0486A2D57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CC5-CA42-9D98-8B0486A2D57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CC5-CA42-9D98-8B0486A2D57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CC5-CA42-9D98-8B0486A2D57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CC5-CA42-9D98-8B0486A2D57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CC5-CA42-9D98-8B0486A2D57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CC5-CA42-9D98-8B0486A2D57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CC5-CA42-9D98-8B0486A2D57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CC5-CA42-9D98-8B0486A2D57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CC5-CA42-9D98-8B0486A2D57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CC5-CA42-9D98-8B0486A2D57D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CC5-CA42-9D98-8B0486A2D57D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CC5-CA42-9D98-8B0486A2D57D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3CC5-CA42-9D98-8B0486A2D57D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3CC5-CA42-9D98-8B0486A2D57D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3CC5-CA42-9D98-8B0486A2D57D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3CC5-CA42-9D98-8B0486A2D57D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3CC5-CA42-9D98-8B0486A2D57D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3CC5-CA42-9D98-8B0486A2D57D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3CC5-CA42-9D98-8B0486A2D57D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3CC5-CA42-9D98-8B0486A2D57D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3CC5-CA42-9D98-8B0486A2D57D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3CC5-CA42-9D98-8B0486A2D57D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CC5-CA42-9D98-8B0486A2D57D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3CC5-CA42-9D98-8B0486A2D57D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3CC5-CA42-9D98-8B0486A2D57D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3CC5-CA42-9D98-8B0486A2D57D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3CC5-CA42-9D98-8B0486A2D57D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3CC5-CA42-9D98-8B0486A2D57D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3CC5-CA42-9D98-8B0486A2D57D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3CC5-CA42-9D98-8B0486A2D57D}"/>
              </c:ext>
            </c:extLst>
          </c:dPt>
          <c:dLbls>
            <c:dLbl>
              <c:idx val="0"/>
              <c:layout>
                <c:manualLayout>
                  <c:x val="-0.16707091096873097"/>
                  <c:y val="-9.650330072377316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C5-CA42-9D98-8B0486A2D57D}"/>
                </c:ext>
              </c:extLst>
            </c:dLbl>
            <c:dLbl>
              <c:idx val="1"/>
              <c:layout>
                <c:manualLayout>
                  <c:x val="9.3267220789983521E-2"/>
                  <c:y val="-9.624178795832347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C5-CA42-9D98-8B0486A2D57D}"/>
                </c:ext>
              </c:extLst>
            </c:dLbl>
            <c:dLbl>
              <c:idx val="2"/>
              <c:layout>
                <c:manualLayout>
                  <c:x val="-0.13668754125936403"/>
                  <c:y val="0.1638975582597629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C5-CA42-9D98-8B0486A2D5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'charges per x'!$B$6:$B$47</c:f>
              <c:strCache>
                <c:ptCount val="42"/>
                <c:pt idx="0">
                  <c:v>hydrogen</c:v>
                </c:pt>
                <c:pt idx="1">
                  <c:v>oxygen</c:v>
                </c:pt>
                <c:pt idx="2">
                  <c:v>carbon</c:v>
                </c:pt>
                <c:pt idx="3">
                  <c:v>nitrogen</c:v>
                </c:pt>
                <c:pt idx="4">
                  <c:v>calcium</c:v>
                </c:pt>
                <c:pt idx="5">
                  <c:v>phosphorus</c:v>
                </c:pt>
                <c:pt idx="6">
                  <c:v>sulfur</c:v>
                </c:pt>
                <c:pt idx="7">
                  <c:v>sodium</c:v>
                </c:pt>
                <c:pt idx="8">
                  <c:v>potassium</c:v>
                </c:pt>
                <c:pt idx="9">
                  <c:v>chlorine</c:v>
                </c:pt>
                <c:pt idx="10">
                  <c:v>magnesium</c:v>
                </c:pt>
                <c:pt idx="11">
                  <c:v>silicon</c:v>
                </c:pt>
                <c:pt idx="12">
                  <c:v>fluorine</c:v>
                </c:pt>
                <c:pt idx="13">
                  <c:v>iron</c:v>
                </c:pt>
                <c:pt idx="14">
                  <c:v>zinc</c:v>
                </c:pt>
                <c:pt idx="15">
                  <c:v>rubidium</c:v>
                </c:pt>
                <c:pt idx="16">
                  <c:v>strontium</c:v>
                </c:pt>
                <c:pt idx="17">
                  <c:v>bromine</c:v>
                </c:pt>
                <c:pt idx="18">
                  <c:v>aluminum</c:v>
                </c:pt>
                <c:pt idx="19">
                  <c:v>copper</c:v>
                </c:pt>
                <c:pt idx="20">
                  <c:v>lead</c:v>
                </c:pt>
                <c:pt idx="21">
                  <c:v>cadmium</c:v>
                </c:pt>
                <c:pt idx="22">
                  <c:v>boron</c:v>
                </c:pt>
                <c:pt idx="23">
                  <c:v>manganese</c:v>
                </c:pt>
                <c:pt idx="24">
                  <c:v>nickel</c:v>
                </c:pt>
                <c:pt idx="25">
                  <c:v>lithium</c:v>
                </c:pt>
                <c:pt idx="26">
                  <c:v>barium</c:v>
                </c:pt>
                <c:pt idx="27">
                  <c:v>iodine</c:v>
                </c:pt>
                <c:pt idx="28">
                  <c:v>tin</c:v>
                </c:pt>
                <c:pt idx="29">
                  <c:v>gold</c:v>
                </c:pt>
                <c:pt idx="30">
                  <c:v>zirconium</c:v>
                </c:pt>
                <c:pt idx="31">
                  <c:v>cobalt</c:v>
                </c:pt>
                <c:pt idx="32">
                  <c:v>cesium</c:v>
                </c:pt>
                <c:pt idx="33">
                  <c:v>mercury</c:v>
                </c:pt>
                <c:pt idx="34">
                  <c:v>arsenic</c:v>
                </c:pt>
                <c:pt idx="35">
                  <c:v>chromium</c:v>
                </c:pt>
                <c:pt idx="36">
                  <c:v>molybdenum</c:v>
                </c:pt>
                <c:pt idx="37">
                  <c:v>selenium</c:v>
                </c:pt>
                <c:pt idx="38">
                  <c:v>beryllium</c:v>
                </c:pt>
                <c:pt idx="39">
                  <c:v>vanadium</c:v>
                </c:pt>
                <c:pt idx="40">
                  <c:v>uranium</c:v>
                </c:pt>
                <c:pt idx="41">
                  <c:v>radium</c:v>
                </c:pt>
              </c:strCache>
            </c:strRef>
          </c:cat>
          <c:val>
            <c:numRef>
              <c:f>'charges per x'!$C$6:$C$47</c:f>
              <c:numCache>
                <c:formatCode>General</c:formatCode>
                <c:ptCount val="42"/>
                <c:pt idx="0">
                  <c:v>2.0256000000000001E+29</c:v>
                </c:pt>
                <c:pt idx="1">
                  <c:v>1.08192E+30</c:v>
                </c:pt>
                <c:pt idx="2">
                  <c:v>4.0471199999999998E+29</c:v>
                </c:pt>
                <c:pt idx="3">
                  <c:v>2.2932000000000002E+28</c:v>
                </c:pt>
                <c:pt idx="4">
                  <c:v>2.6880000000000001E+28</c:v>
                </c:pt>
                <c:pt idx="5">
                  <c:v>1.2096E+28</c:v>
                </c:pt>
                <c:pt idx="6">
                  <c:v>3.4943999999999995E+27</c:v>
                </c:pt>
                <c:pt idx="7">
                  <c:v>2.3099999999999997E+27</c:v>
                </c:pt>
                <c:pt idx="8">
                  <c:v>3.5111999999999999E+27</c:v>
                </c:pt>
                <c:pt idx="9">
                  <c:v>2.2848000000000001E+27</c:v>
                </c:pt>
                <c:pt idx="10">
                  <c:v>4.7375999999999995E+26</c:v>
                </c:pt>
                <c:pt idx="11">
                  <c:v>4.5863999999999994E+26</c:v>
                </c:pt>
                <c:pt idx="12">
                  <c:v>6.2748000000000002E+25</c:v>
                </c:pt>
                <c:pt idx="13">
                  <c:v>9.8280000000000004E+25</c:v>
                </c:pt>
                <c:pt idx="14">
                  <c:v>5.2920000000000005E+25</c:v>
                </c:pt>
                <c:pt idx="15">
                  <c:v>6.8376000000000012E+24</c:v>
                </c:pt>
                <c:pt idx="16">
                  <c:v>7.0224000000000007E+24</c:v>
                </c:pt>
                <c:pt idx="17">
                  <c:v>5.8800000000000004E+24</c:v>
                </c:pt>
                <c:pt idx="18">
                  <c:v>1.092E+24</c:v>
                </c:pt>
                <c:pt idx="19">
                  <c:v>1.7052E+24</c:v>
                </c:pt>
                <c:pt idx="20">
                  <c:v>2.0663999999999999E+24</c:v>
                </c:pt>
                <c:pt idx="21">
                  <c:v>1.2095999999999999E+24</c:v>
                </c:pt>
                <c:pt idx="22">
                  <c:v>8.3999999999999992E+22</c:v>
                </c:pt>
                <c:pt idx="23">
                  <c:v>2.1000000000000001E+23</c:v>
                </c:pt>
                <c:pt idx="24">
                  <c:v>2.3520000000000002E+23</c:v>
                </c:pt>
                <c:pt idx="25">
                  <c:v>2.52E+22</c:v>
                </c:pt>
                <c:pt idx="26">
                  <c:v>3.7632E+23</c:v>
                </c:pt>
                <c:pt idx="27">
                  <c:v>2.2260000000000001E+23</c:v>
                </c:pt>
                <c:pt idx="28">
                  <c:v>1.6799999999999998E+23</c:v>
                </c:pt>
                <c:pt idx="29">
                  <c:v>1.3272E+23</c:v>
                </c:pt>
                <c:pt idx="30">
                  <c:v>6.72E+22</c:v>
                </c:pt>
                <c:pt idx="31">
                  <c:v>4.5360000000000004E+22</c:v>
                </c:pt>
                <c:pt idx="32">
                  <c:v>3.2339999999999999E+22</c:v>
                </c:pt>
                <c:pt idx="33">
                  <c:v>4.032E+22</c:v>
                </c:pt>
                <c:pt idx="34">
                  <c:v>1.6632E+22</c:v>
                </c:pt>
                <c:pt idx="35">
                  <c:v>1.2096E+22</c:v>
                </c:pt>
                <c:pt idx="36">
                  <c:v>1.0584E+22</c:v>
                </c:pt>
                <c:pt idx="37">
                  <c:v>8.568E+21</c:v>
                </c:pt>
                <c:pt idx="38">
                  <c:v>1.008E+21</c:v>
                </c:pt>
                <c:pt idx="39">
                  <c:v>1.5456E+21</c:v>
                </c:pt>
                <c:pt idx="40">
                  <c:v>1.5456E+21</c:v>
                </c:pt>
                <c:pt idx="41">
                  <c:v>591360000000000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3CC5-CA42-9D98-8B0486A2D57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50"/>
        <c:splitType val="pos"/>
        <c:splitPos val="39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B7F209-7D04-C64A-8F98-5E2D689F6F60}">
  <sheetPr/>
  <sheetViews>
    <sheetView zoomScale="1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EAC76B-897A-B145-9BAD-B12364C79771}">
  <sheetPr/>
  <sheetViews>
    <sheetView zoomScale="19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4A9119-5B64-D140-B157-FCBC0CE6D3EE}">
  <sheetPr/>
  <sheetViews>
    <sheetView zoomScale="19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F60305-A7F8-674A-8472-B64CC991872B}">
  <sheetPr/>
  <sheetViews>
    <sheetView zoomScale="170" workbookViewId="0" zoomToFit="1"/>
  </sheetViews>
  <pageMargins left="0.7" right="0.7" top="0.75" bottom="0.75" header="0.3" footer="0.3"/>
  <drawing r:id="rId1"/>
</chartsheet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63500</xdr:colOff>
      <xdr:row>18</xdr:row>
      <xdr:rowOff>31750</xdr:rowOff>
    </xdr:from>
    <xdr:ext cx="2212850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80341-BE4E-3F4F-A266-44665770EFED}"/>
                </a:ext>
              </a:extLst>
            </xdr:cNvPr>
            <xdr:cNvSpPr txBox="1"/>
          </xdr:nvSpPr>
          <xdr:spPr>
            <a:xfrm>
              <a:off x="10121900" y="10293350"/>
              <a:ext cx="221285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80341-BE4E-3F4F-A266-44665770EFED}"/>
                </a:ext>
              </a:extLst>
            </xdr:cNvPr>
            <xdr:cNvSpPr txBox="1"/>
          </xdr:nvSpPr>
          <xdr:spPr>
            <a:xfrm>
              <a:off x="10121900" y="10293350"/>
              <a:ext cx="221285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𝐸_𝑝=𝑀_𝑝 𝑐^2=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ℏ/</a:t>
              </a:r>
              <a:r>
                <a:rPr lang="en-US" sz="1600" b="0" i="0">
                  <a:latin typeface="Cambria Math" panose="02040503050406030204" pitchFamily="18" charset="0"/>
                </a:rPr>
                <a:t>𝑇_𝑝 =√((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</a:t>
              </a:r>
              <a:r>
                <a:rPr lang="en-US" sz="1600" b="0" i="0">
                  <a:latin typeface="Cambria Math" panose="02040503050406030204" pitchFamily="18" charset="0"/>
                </a:rPr>
                <a:t>𝑐^5)/𝐺)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120650</xdr:colOff>
      <xdr:row>3</xdr:row>
      <xdr:rowOff>79375</xdr:rowOff>
    </xdr:from>
    <xdr:ext cx="260071" cy="5358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8AB479-9EE0-B64D-88A4-3D3ED4A7F836}"/>
                </a:ext>
              </a:extLst>
            </xdr:cNvPr>
            <xdr:cNvSpPr txBox="1"/>
          </xdr:nvSpPr>
          <xdr:spPr>
            <a:xfrm>
              <a:off x="10179050" y="1603375"/>
              <a:ext cx="260071" cy="535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8AB479-9EE0-B64D-88A4-3D3ED4A7F836}"/>
                </a:ext>
              </a:extLst>
            </xdr:cNvPr>
            <xdr:cNvSpPr txBox="1"/>
          </xdr:nvSpPr>
          <xdr:spPr>
            <a:xfrm>
              <a:off x="10179050" y="1603375"/>
              <a:ext cx="260071" cy="535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𝐿_𝑝/𝑇_𝑝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69850</xdr:colOff>
      <xdr:row>19</xdr:row>
      <xdr:rowOff>6350</xdr:rowOff>
    </xdr:from>
    <xdr:ext cx="959430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731F6C3-A0D6-8548-A7C7-D4A79DA14A09}"/>
                </a:ext>
              </a:extLst>
            </xdr:cNvPr>
            <xdr:cNvSpPr txBox="1"/>
          </xdr:nvSpPr>
          <xdr:spPr>
            <a:xfrm>
              <a:off x="10128250" y="11055350"/>
              <a:ext cx="95943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731F6C3-A0D6-8548-A7C7-D4A79DA14A09}"/>
                </a:ext>
              </a:extLst>
            </xdr:cNvPr>
            <xdr:cNvSpPr txBox="1"/>
          </xdr:nvSpPr>
          <xdr:spPr>
            <a:xfrm>
              <a:off x="10128250" y="11055350"/>
              <a:ext cx="95943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𝑀_𝑝=√(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ℏ𝑐/</a:t>
              </a:r>
              <a:r>
                <a:rPr lang="en-US" sz="1600" b="0" i="0">
                  <a:latin typeface="Cambria Math" panose="02040503050406030204" pitchFamily="18" charset="0"/>
                </a:rPr>
                <a:t>𝐺)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69850</xdr:colOff>
      <xdr:row>20</xdr:row>
      <xdr:rowOff>12700</xdr:rowOff>
    </xdr:from>
    <xdr:ext cx="2188676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45F8D55-A133-3C45-9FBE-C4E0FDC34BF0}"/>
                </a:ext>
              </a:extLst>
            </xdr:cNvPr>
            <xdr:cNvSpPr txBox="1"/>
          </xdr:nvSpPr>
          <xdr:spPr>
            <a:xfrm>
              <a:off x="10128250" y="11849100"/>
              <a:ext cx="2188676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</m:sSup>
                          </m:den>
                        </m:f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45F8D55-A133-3C45-9FBE-C4E0FDC34BF0}"/>
                </a:ext>
              </a:extLst>
            </xdr:cNvPr>
            <xdr:cNvSpPr txBox="1"/>
          </xdr:nvSpPr>
          <xdr:spPr>
            <a:xfrm>
              <a:off x="10128250" y="11849100"/>
              <a:ext cx="2188676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𝑇_𝑝=𝐿_𝑝/𝑐=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ℏ/(</a:t>
              </a:r>
              <a:r>
                <a:rPr lang="en-US" sz="1600" b="0" i="0">
                  <a:latin typeface="Cambria Math" panose="02040503050406030204" pitchFamily="18" charset="0"/>
                </a:rPr>
                <a:t>𝑀_𝑝 𝑐^2 )=√(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ℏ𝐺/</a:t>
              </a:r>
              <a:r>
                <a:rPr lang="en-US" sz="1600" b="0" i="0">
                  <a:latin typeface="Cambria Math" panose="02040503050406030204" pitchFamily="18" charset="0"/>
                </a:rPr>
                <a:t>𝑐^5  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76200</xdr:colOff>
      <xdr:row>17</xdr:row>
      <xdr:rowOff>6350</xdr:rowOff>
    </xdr:from>
    <xdr:ext cx="943272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2A631EA-F45F-7247-BC12-2B002FC90828}"/>
                </a:ext>
              </a:extLst>
            </xdr:cNvPr>
            <xdr:cNvSpPr txBox="1"/>
          </xdr:nvSpPr>
          <xdr:spPr>
            <a:xfrm>
              <a:off x="10134600" y="9480550"/>
              <a:ext cx="943272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2A631EA-F45F-7247-BC12-2B002FC90828}"/>
                </a:ext>
              </a:extLst>
            </xdr:cNvPr>
            <xdr:cNvSpPr txBox="1"/>
          </xdr:nvSpPr>
          <xdr:spPr>
            <a:xfrm>
              <a:off x="10134600" y="9480550"/>
              <a:ext cx="943272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𝐿_𝑝=√(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ℏ𝐺/</a:t>
              </a:r>
              <a:r>
                <a:rPr lang="en-US" sz="1600" b="0" i="0">
                  <a:latin typeface="Cambria Math" panose="02040503050406030204" pitchFamily="18" charset="0"/>
                </a:rPr>
                <a:t>𝑐^3 )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105833</xdr:colOff>
      <xdr:row>21</xdr:row>
      <xdr:rowOff>91016</xdr:rowOff>
    </xdr:from>
    <xdr:ext cx="2207527" cy="501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8306BAB-A44E-1447-8341-BE2F94882438}"/>
                </a:ext>
              </a:extLst>
            </xdr:cNvPr>
            <xdr:cNvSpPr txBox="1"/>
          </xdr:nvSpPr>
          <xdr:spPr>
            <a:xfrm>
              <a:off x="10164233" y="12714816"/>
              <a:ext cx="2207527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l-GR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Θ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𝑀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sSup>
                        <m:sSup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𝑐</m:t>
                          </m:r>
                        </m:e>
                        <m:sup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num>
                    <m:den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ℏ</m:t>
                          </m:r>
                          <m:sSup>
                            <m:s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𝑐</m:t>
                              </m:r>
                            </m:e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5</m:t>
                              </m:r>
                            </m:sup>
                          </m:sSup>
                        </m:num>
                        <m:den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𝐺</m:t>
                          </m:r>
                          <m:sSubSup>
                            <m:sSub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𝑘</m:t>
                              </m:r>
                            </m:e>
                            <m:sub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𝐵</m:t>
                              </m:r>
                            </m:sub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bSup>
                        </m:den>
                      </m:f>
                    </m:e>
                  </m:rad>
                </m:oMath>
              </a14:m>
              <a:r>
                <a:rPr lang="en-US" sz="1600"/>
                <a:t> =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</m:t>
                      </m:r>
                    </m:sub>
                  </m:sSub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h</m:t>
                      </m:r>
                    </m:num>
                    <m:den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den>
                  </m:f>
                </m:oMath>
              </a14:m>
              <a:endParaRPr lang="en-US" sz="16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8306BAB-A44E-1447-8341-BE2F94882438}"/>
                </a:ext>
              </a:extLst>
            </xdr:cNvPr>
            <xdr:cNvSpPr txBox="1"/>
          </xdr:nvSpPr>
          <xdr:spPr>
            <a:xfrm>
              <a:off x="10164233" y="12714816"/>
              <a:ext cx="2207527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𝑝=(𝑀_𝑝 𝑐^2)/𝑘_𝐵 =√((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</a:t>
              </a:r>
              <a:r>
                <a:rPr lang="en-US" sz="1600" b="0" i="0">
                  <a:latin typeface="Cambria Math" panose="02040503050406030204" pitchFamily="18" charset="0"/>
                </a:rPr>
                <a:t>𝑐^5)/(𝐺𝑘_𝐵^2 ))</a:t>
              </a:r>
              <a:r>
                <a:rPr lang="en-US" sz="1600"/>
                <a:t> = </a:t>
              </a:r>
              <a:r>
                <a:rPr lang="en-US" sz="1600" b="0" i="0">
                  <a:latin typeface="Cambria Math" panose="02040503050406030204" pitchFamily="18" charset="0"/>
                </a:rPr>
                <a:t>𝐹_𝑝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ℎ/𝑘_𝐵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76200</xdr:colOff>
      <xdr:row>22</xdr:row>
      <xdr:rowOff>117475</xdr:rowOff>
    </xdr:from>
    <xdr:ext cx="1880579" cy="4677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CDC2755-C37C-A84A-84BF-2BCD7D2A50B2}"/>
                </a:ext>
              </a:extLst>
            </xdr:cNvPr>
            <xdr:cNvSpPr txBox="1"/>
          </xdr:nvSpPr>
          <xdr:spPr>
            <a:xfrm>
              <a:off x="10134600" y="13528675"/>
              <a:ext cx="1880579" cy="467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CDC2755-C37C-A84A-84BF-2BCD7D2A50B2}"/>
                </a:ext>
              </a:extLst>
            </xdr:cNvPr>
            <xdr:cNvSpPr txBox="1"/>
          </xdr:nvSpPr>
          <xdr:spPr>
            <a:xfrm>
              <a:off x="10134600" y="13528675"/>
              <a:ext cx="1880579" cy="467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𝑄_𝑝=√(4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𝜋𝜀_0 ℏ𝑐)=𝑒/√𝛼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107950</xdr:colOff>
      <xdr:row>9</xdr:row>
      <xdr:rowOff>142875</xdr:rowOff>
    </xdr:from>
    <xdr:ext cx="2339358" cy="535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952596C-9961-F349-AAEB-E191FD64F962}"/>
                </a:ext>
              </a:extLst>
            </xdr:cNvPr>
            <xdr:cNvSpPr txBox="1"/>
          </xdr:nvSpPr>
          <xdr:spPr>
            <a:xfrm>
              <a:off x="10166350" y="4714875"/>
              <a:ext cx="2339358" cy="535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𝜀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h𝑐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952596C-9961-F349-AAEB-E191FD64F962}"/>
                </a:ext>
              </a:extLst>
            </xdr:cNvPr>
            <xdr:cNvSpPr txBox="1"/>
          </xdr:nvSpPr>
          <xdr:spPr>
            <a:xfrm>
              <a:off x="10166350" y="4714875"/>
              <a:ext cx="2339358" cy="535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𝜀_0=1/(</a:t>
              </a:r>
              <a:r>
                <a:rPr lang="en-US" sz="1600" b="0" i="0">
                  <a:latin typeface="Cambria Math" panose="02040503050406030204" pitchFamily="18" charset="0"/>
                </a:rPr>
                <a:t>4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𝜋𝑘_𝑒 )=1/(𝜇_0 𝑐^2 )=𝑒^2/2𝛼ℎ𝑐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57150</xdr:colOff>
      <xdr:row>13</xdr:row>
      <xdr:rowOff>114300</xdr:rowOff>
    </xdr:from>
    <xdr:ext cx="3871444" cy="535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0FF7FE-7543-9C41-9358-A1A53891AB68}"/>
                </a:ext>
              </a:extLst>
            </xdr:cNvPr>
            <xdr:cNvSpPr txBox="1"/>
          </xdr:nvSpPr>
          <xdr:spPr>
            <a:xfrm>
              <a:off x="10115550" y="7759700"/>
              <a:ext cx="3871444" cy="535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0FF7FE-7543-9C41-9358-A1A53891AB68}"/>
                </a:ext>
              </a:extLst>
            </xdr:cNvPr>
            <xdr:cNvSpPr txBox="1"/>
          </xdr:nvSpPr>
          <xdr:spPr>
            <a:xfrm>
              <a:off x="10115550" y="7759700"/>
              <a:ext cx="3871444" cy="535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=𝑒^2/(4𝜋𝜀_0 ℏ𝑐)=(〖𝜇_0 𝑒〗^2 𝑐)/4𝜋ℏ=〖𝑘_𝑒 𝑒〗^2/ℏ𝑐=(𝜇_0 𝑐)/(2𝑅_𝐾 )=(𝑒^2 𝑍_0)/4𝜋ℏ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88900</xdr:colOff>
      <xdr:row>10</xdr:row>
      <xdr:rowOff>120650</xdr:rowOff>
    </xdr:from>
    <xdr:ext cx="875432" cy="4675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E1A0F13-1869-9B4D-BE67-48C42A242F1E}"/>
                </a:ext>
              </a:extLst>
            </xdr:cNvPr>
            <xdr:cNvSpPr txBox="1"/>
          </xdr:nvSpPr>
          <xdr:spPr>
            <a:xfrm>
              <a:off x="10147300" y="6038850"/>
              <a:ext cx="875432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E1A0F13-1869-9B4D-BE67-48C42A242F1E}"/>
                </a:ext>
              </a:extLst>
            </xdr:cNvPr>
            <xdr:cNvSpPr txBox="1"/>
          </xdr:nvSpPr>
          <xdr:spPr>
            <a:xfrm>
              <a:off x="10147300" y="6038850"/>
              <a:ext cx="875432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𝜇_0=2𝛼ℎ/(𝑒^2 𝑐)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76200</xdr:colOff>
      <xdr:row>23</xdr:row>
      <xdr:rowOff>22225</xdr:rowOff>
    </xdr:from>
    <xdr:ext cx="1891672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6A5F785-82C6-BD43-AD98-755BDF3CD775}"/>
                </a:ext>
              </a:extLst>
            </xdr:cNvPr>
            <xdr:cNvSpPr txBox="1"/>
          </xdr:nvSpPr>
          <xdr:spPr>
            <a:xfrm>
              <a:off x="10134600" y="14220825"/>
              <a:ext cx="1891672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=2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ra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6A5F785-82C6-BD43-AD98-755BDF3CD775}"/>
                </a:ext>
              </a:extLst>
            </xdr:cNvPr>
            <xdr:cNvSpPr txBox="1"/>
          </xdr:nvSpPr>
          <xdr:spPr>
            <a:xfrm>
              <a:off x="10134600" y="14220825"/>
              <a:ext cx="1891672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600" b="0" i="0">
                  <a:latin typeface="Cambria Math" panose="02040503050406030204" pitchFamily="18" charset="0"/>
                </a:rPr>
                <a:t>𝑝=2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𝜋√(𝐺ℏ/</a:t>
              </a:r>
              <a:r>
                <a:rPr lang="en-US" sz="1600" b="0" i="0">
                  <a:latin typeface="Cambria Math" panose="02040503050406030204" pitchFamily="18" charset="0"/>
                </a:rPr>
                <a:t>𝑐^3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)=2𝜋𝐿_𝑝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120650</xdr:colOff>
      <xdr:row>27</xdr:row>
      <xdr:rowOff>114300</xdr:rowOff>
    </xdr:from>
    <xdr:ext cx="542200" cy="421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C832822-7941-E549-8032-E9DA077C0E5A}"/>
                </a:ext>
              </a:extLst>
            </xdr:cNvPr>
            <xdr:cNvSpPr txBox="1"/>
          </xdr:nvSpPr>
          <xdr:spPr>
            <a:xfrm>
              <a:off x="10179050" y="14668500"/>
              <a:ext cx="542200" cy="421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C832822-7941-E549-8032-E9DA077C0E5A}"/>
                </a:ext>
              </a:extLst>
            </xdr:cNvPr>
            <xdr:cNvSpPr txBox="1"/>
          </xdr:nvSpPr>
          <xdr:spPr>
            <a:xfrm>
              <a:off x="10179050" y="14668500"/>
              <a:ext cx="542200" cy="421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𝑓=𝑐/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88900</xdr:colOff>
      <xdr:row>28</xdr:row>
      <xdr:rowOff>120650</xdr:rowOff>
    </xdr:from>
    <xdr:ext cx="977767" cy="298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A12900D-DCFF-2043-A693-FF42D6B7F2F0}"/>
                </a:ext>
              </a:extLst>
            </xdr:cNvPr>
            <xdr:cNvSpPr txBox="1"/>
          </xdr:nvSpPr>
          <xdr:spPr>
            <a:xfrm>
              <a:off x="10147300" y="15182850"/>
              <a:ext cx="977767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type m:val="lin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A12900D-DCFF-2043-A693-FF42D6B7F2F0}"/>
                </a:ext>
              </a:extLst>
            </xdr:cNvPr>
            <xdr:cNvSpPr txBox="1"/>
          </xdr:nvSpPr>
          <xdr:spPr>
            <a:xfrm>
              <a:off x="10147300" y="15182850"/>
              <a:ext cx="977767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</a:rPr>
                <a:t>√(</a:t>
              </a:r>
              <a:r>
                <a:rPr lang="en-US" sz="1600" b="0" i="0">
                  <a:latin typeface="Cambria Math" panose="02040503050406030204" pitchFamily="18" charset="0"/>
                </a:rPr>
                <a:t>2ℎ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𝛼∕〖𝜇_0 𝑐〗)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95250</xdr:colOff>
      <xdr:row>29</xdr:row>
      <xdr:rowOff>22225</xdr:rowOff>
    </xdr:from>
    <xdr:ext cx="696344" cy="4675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B105039-58A8-904B-BB55-B6767EDECFCD}"/>
                </a:ext>
              </a:extLst>
            </xdr:cNvPr>
            <xdr:cNvSpPr txBox="1"/>
          </xdr:nvSpPr>
          <xdr:spPr>
            <a:xfrm>
              <a:off x="10153650" y="15592425"/>
              <a:ext cx="696344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𝑚𝑐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B105039-58A8-904B-BB55-B6767EDECFCD}"/>
                </a:ext>
              </a:extLst>
            </xdr:cNvPr>
            <xdr:cNvSpPr txBox="1"/>
          </xdr:nvSpPr>
          <xdr:spPr>
            <a:xfrm>
              <a:off x="10153650" y="15592425"/>
              <a:ext cx="696344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=ℎ/𝑚𝑐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57150</xdr:colOff>
      <xdr:row>30</xdr:row>
      <xdr:rowOff>57150</xdr:rowOff>
    </xdr:from>
    <xdr:ext cx="883768" cy="4626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B1E8B41-2319-1041-8C43-BDD76ADB141E}"/>
                </a:ext>
              </a:extLst>
            </xdr:cNvPr>
            <xdr:cNvSpPr txBox="1"/>
          </xdr:nvSpPr>
          <xdr:spPr>
            <a:xfrm>
              <a:off x="10115550" y="16135350"/>
              <a:ext cx="883768" cy="4626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𝐺𝑀</m:t>
                        </m:r>
                      </m:num>
                      <m:den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B1E8B41-2319-1041-8C43-BDD76ADB141E}"/>
                </a:ext>
              </a:extLst>
            </xdr:cNvPr>
            <xdr:cNvSpPr txBox="1"/>
          </xdr:nvSpPr>
          <xdr:spPr>
            <a:xfrm>
              <a:off x="10115550" y="16135350"/>
              <a:ext cx="883768" cy="4626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𝑟_𝑠=2𝐺𝑀/𝑐^2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88900</xdr:colOff>
      <xdr:row>31</xdr:row>
      <xdr:rowOff>38100</xdr:rowOff>
    </xdr:from>
    <xdr:ext cx="1164486" cy="467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B2F9FE7-F903-F940-A672-149884B2FC7B}"/>
                </a:ext>
              </a:extLst>
            </xdr:cNvPr>
            <xdr:cNvSpPr txBox="1"/>
          </xdr:nvSpPr>
          <xdr:spPr>
            <a:xfrm>
              <a:off x="10147300" y="16624300"/>
              <a:ext cx="1164486" cy="46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h𝑐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h𝑓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B2F9FE7-F903-F940-A672-149884B2FC7B}"/>
                </a:ext>
              </a:extLst>
            </xdr:cNvPr>
            <xdr:cNvSpPr txBox="1"/>
          </xdr:nvSpPr>
          <xdr:spPr>
            <a:xfrm>
              <a:off x="10147300" y="16624300"/>
              <a:ext cx="1164486" cy="46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𝐸=ℎ𝑐/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𝜆=ℎ𝑓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44450</xdr:colOff>
      <xdr:row>32</xdr:row>
      <xdr:rowOff>12700</xdr:rowOff>
    </xdr:from>
    <xdr:ext cx="3886513" cy="7727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97A8E03-FE87-494E-BDB5-BD0A41FB5419}"/>
                </a:ext>
              </a:extLst>
            </xdr:cNvPr>
            <xdr:cNvSpPr txBox="1"/>
          </xdr:nvSpPr>
          <xdr:spPr>
            <a:xfrm>
              <a:off x="10102850" y="17106900"/>
              <a:ext cx="3886513" cy="7727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𝑟𝑒𝑙𝑎𝑡𝑖𝑣𝑖𝑠𝑡𝑖𝑐𝑎𝑙𝑙𝑦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h</m:t>
                        </m:r>
                        <m:rad>
                          <m:radPr>
                            <m:degHide m:val="on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p>
                                  <m:s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rad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𝑚𝑣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97A8E03-FE87-494E-BDB5-BD0A41FB5419}"/>
                </a:ext>
              </a:extLst>
            </xdr:cNvPr>
            <xdr:cNvSpPr txBox="1"/>
          </xdr:nvSpPr>
          <xdr:spPr>
            <a:xfrm>
              <a:off x="10102850" y="17106900"/>
              <a:ext cx="3886513" cy="7727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𝐵=ℎ/𝑝=ℎ/𝑣=𝑜𝑟 𝑟𝑒𝑙𝑎𝑡𝑖𝑣𝑖𝑠𝑡𝑖𝑐𝑎𝑙𝑙𝑦  (ℎ√(1−𝑣^2/𝑐^2 ))/𝑚𝑣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95250</xdr:colOff>
      <xdr:row>35</xdr:row>
      <xdr:rowOff>6350</xdr:rowOff>
    </xdr:from>
    <xdr:ext cx="3946530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849803-9E09-0D48-864D-A6D3F3F6A9AD}"/>
                </a:ext>
              </a:extLst>
            </xdr:cNvPr>
            <xdr:cNvSpPr txBox="1"/>
          </xdr:nvSpPr>
          <xdr:spPr>
            <a:xfrm>
              <a:off x="10153650" y="22167850"/>
              <a:ext cx="394653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𝑟𝑒𝑙𝑎𝑡𝑖𝑣𝑒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𝑡𝑜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𝑟𝑒𝑎𝑙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𝑡𝑖𝑚𝑒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𝑐𝑜𝑛𝑡𝑟𝑎𝑐𝑡𝑠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𝑏𝑦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849803-9E09-0D48-864D-A6D3F3F6A9AD}"/>
                </a:ext>
              </a:extLst>
            </xdr:cNvPr>
            <xdr:cNvSpPr txBox="1"/>
          </xdr:nvSpPr>
          <xdr:spPr>
            <a:xfrm>
              <a:off x="10153650" y="22167850"/>
              <a:ext cx="394653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𝑟𝑒𝑙𝑎𝑡𝑖𝑣𝑒 𝑡𝑜 𝑟𝑒𝑎𝑙 𝑡𝑖𝑚𝑒, 𝑐𝑜𝑛𝑡𝑟𝑎𝑐𝑡𝑠 𝑏𝑦 √(1−𝑣^2/𝑐^2 )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38100</xdr:colOff>
      <xdr:row>34</xdr:row>
      <xdr:rowOff>25400</xdr:rowOff>
    </xdr:from>
    <xdr:ext cx="4314643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F85D2B-507D-EA4D-8D2B-8D4BDCEE86FA}"/>
                </a:ext>
              </a:extLst>
            </xdr:cNvPr>
            <xdr:cNvSpPr txBox="1"/>
          </xdr:nvSpPr>
          <xdr:spPr>
            <a:xfrm>
              <a:off x="10096500" y="21437600"/>
              <a:ext cx="4314643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𝑟𝑒𝑙𝑎𝑡𝑖𝑣𝑒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𝑡𝑜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𝑟𝑒𝑎𝑙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𝑑𝑖𝑠𝑡𝑎𝑛𝑐𝑒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𝑐𝑜𝑛𝑡𝑟𝑎𝑐𝑡𝑠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𝑏𝑦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F85D2B-507D-EA4D-8D2B-8D4BDCEE86FA}"/>
                </a:ext>
              </a:extLst>
            </xdr:cNvPr>
            <xdr:cNvSpPr txBox="1"/>
          </xdr:nvSpPr>
          <xdr:spPr>
            <a:xfrm>
              <a:off x="10096500" y="21437600"/>
              <a:ext cx="4314643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𝑟𝑒𝑙𝑎𝑡𝑖𝑣𝑒 𝑡𝑜 𝑟𝑒𝑎𝑙 𝑑𝑖𝑠𝑡𝑎𝑛𝑐𝑒, 𝑐𝑜𝑛𝑡𝑟𝑎𝑐𝑡𝑠 𝑏𝑦 √(1−𝑣^2/𝑐^2 )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152400</xdr:colOff>
      <xdr:row>31</xdr:row>
      <xdr:rowOff>88900</xdr:rowOff>
    </xdr:from>
    <xdr:ext cx="720647" cy="3545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8801E50-94CC-B04D-B7C0-848325FD3220}"/>
                </a:ext>
              </a:extLst>
            </xdr:cNvPr>
            <xdr:cNvSpPr txBox="1"/>
          </xdr:nvSpPr>
          <xdr:spPr>
            <a:xfrm>
              <a:off x="14744700" y="19646900"/>
              <a:ext cx="720647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solidFill>
                        <a:srgbClr val="C0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𝐸</m:t>
                  </m:r>
                  <m:r>
                    <a:rPr lang="en-US" sz="1600" b="0" i="1">
                      <a:solidFill>
                        <a:srgbClr val="C0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h𝑣</m:t>
                      </m:r>
                    </m:num>
                    <m:den>
                      <m:r>
                        <a:rPr lang="en-US" sz="16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𝜆</m:t>
                      </m:r>
                    </m:den>
                  </m:f>
                </m:oMath>
              </a14:m>
              <a:r>
                <a:rPr lang="en-US" sz="160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  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8801E50-94CC-B04D-B7C0-848325FD3220}"/>
                </a:ext>
              </a:extLst>
            </xdr:cNvPr>
            <xdr:cNvSpPr txBox="1"/>
          </xdr:nvSpPr>
          <xdr:spPr>
            <a:xfrm>
              <a:off x="14744700" y="19646900"/>
              <a:ext cx="720647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𝐸=ℎ𝑣/𝜆</a:t>
              </a:r>
              <a:r>
                <a:rPr lang="en-US" sz="160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  </a:t>
              </a:r>
            </a:p>
          </xdr:txBody>
        </xdr:sp>
      </mc:Fallback>
    </mc:AlternateContent>
    <xdr:clientData/>
  </xdr:oneCellAnchor>
  <xdr:oneCellAnchor>
    <xdr:from>
      <xdr:col>5</xdr:col>
      <xdr:colOff>50800</xdr:colOff>
      <xdr:row>37</xdr:row>
      <xdr:rowOff>0</xdr:rowOff>
    </xdr:from>
    <xdr:ext cx="1039708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73418F9-4846-2D46-B012-281DDF7B84E3}"/>
                </a:ext>
              </a:extLst>
            </xdr:cNvPr>
            <xdr:cNvSpPr txBox="1"/>
          </xdr:nvSpPr>
          <xdr:spPr>
            <a:xfrm>
              <a:off x="10109200" y="20688300"/>
              <a:ext cx="1039708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1 /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73418F9-4846-2D46-B012-281DDF7B84E3}"/>
                </a:ext>
              </a:extLst>
            </xdr:cNvPr>
            <xdr:cNvSpPr txBox="1"/>
          </xdr:nvSpPr>
          <xdr:spPr>
            <a:xfrm>
              <a:off x="10109200" y="20688300"/>
              <a:ext cx="1039708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1 /√(1−𝑣^2/𝑐^2 )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26609</xdr:colOff>
      <xdr:row>24</xdr:row>
      <xdr:rowOff>35530</xdr:rowOff>
    </xdr:from>
    <xdr:ext cx="1869807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2D248EA-17E0-5D46-A48A-CAD0776B1CE8}"/>
                </a:ext>
              </a:extLst>
            </xdr:cNvPr>
            <xdr:cNvSpPr txBox="1"/>
          </xdr:nvSpPr>
          <xdr:spPr>
            <a:xfrm>
              <a:off x="10085009" y="15021530"/>
              <a:ext cx="1869807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den>
                    </m:f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𝐺h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2D248EA-17E0-5D46-A48A-CAD0776B1CE8}"/>
                </a:ext>
              </a:extLst>
            </xdr:cNvPr>
            <xdr:cNvSpPr txBox="1"/>
          </xdr:nvSpPr>
          <xdr:spPr>
            <a:xfrm>
              <a:off x="10085009" y="15021530"/>
              <a:ext cx="1869807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𝐹_𝑝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=𝑘_𝐵/ℎ 𝑇_𝑝=√(𝑐^5/2𝜋𝐺ℎ)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75983</xdr:colOff>
      <xdr:row>38</xdr:row>
      <xdr:rowOff>170057</xdr:rowOff>
    </xdr:from>
    <xdr:ext cx="815673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3887AB3-9B30-3C47-AAB6-2FAC7C4D9B77}"/>
                </a:ext>
              </a:extLst>
            </xdr:cNvPr>
            <xdr:cNvSpPr txBox="1"/>
          </xdr:nvSpPr>
          <xdr:spPr>
            <a:xfrm>
              <a:off x="10134383" y="20312257"/>
              <a:ext cx="81567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 /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3887AB3-9B30-3C47-AAB6-2FAC7C4D9B77}"/>
                </a:ext>
              </a:extLst>
            </xdr:cNvPr>
            <xdr:cNvSpPr txBox="1"/>
          </xdr:nvSpPr>
          <xdr:spPr>
            <a:xfrm>
              <a:off x="10134383" y="20312257"/>
              <a:ext cx="81567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𝛼=1 /𝛾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104743</xdr:colOff>
      <xdr:row>41</xdr:row>
      <xdr:rowOff>163988</xdr:rowOff>
    </xdr:from>
    <xdr:ext cx="916726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3A2A842-3CF4-8842-9B34-B96A4921E703}"/>
                </a:ext>
              </a:extLst>
            </xdr:cNvPr>
            <xdr:cNvSpPr txBox="1"/>
          </xdr:nvSpPr>
          <xdr:spPr>
            <a:xfrm>
              <a:off x="10163143" y="22338188"/>
              <a:ext cx="916726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3A2A842-3CF4-8842-9B34-B96A4921E703}"/>
                </a:ext>
              </a:extLst>
            </xdr:cNvPr>
            <xdr:cNvSpPr txBox="1"/>
          </xdr:nvSpPr>
          <xdr:spPr>
            <a:xfrm>
              <a:off x="10163143" y="22338188"/>
              <a:ext cx="916726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 b="0" i="0">
                  <a:latin typeface="Cambria Math" panose="02040503050406030204" pitchFamily="18" charset="0"/>
                </a:rPr>
                <a:t>𝑚_0 𝑐^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92075</xdr:colOff>
      <xdr:row>42</xdr:row>
      <xdr:rowOff>184150</xdr:rowOff>
    </xdr:from>
    <xdr:ext cx="1860509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83839D6-C84F-0B4D-93A1-A01344150C53}"/>
                </a:ext>
              </a:extLst>
            </xdr:cNvPr>
            <xdr:cNvSpPr txBox="1"/>
          </xdr:nvSpPr>
          <xdr:spPr>
            <a:xfrm>
              <a:off x="10150475" y="22866350"/>
              <a:ext cx="186050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𝑝𝑐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6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600"/>
                <a:t>+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US" sz="16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𝑚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  <m:sSup>
                        <m:sSup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𝑐</m:t>
                          </m:r>
                        </m:e>
                        <m:sup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US" sz="16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83839D6-C84F-0B4D-93A1-A01344150C53}"/>
                </a:ext>
              </a:extLst>
            </xdr:cNvPr>
            <xdr:cNvSpPr txBox="1"/>
          </xdr:nvSpPr>
          <xdr:spPr>
            <a:xfrm>
              <a:off x="10150475" y="22866350"/>
              <a:ext cx="186050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𝐸^2</a:t>
              </a:r>
              <a:r>
                <a:rPr lang="en-US" sz="1600" i="0">
                  <a:latin typeface="Cambria Math" panose="02040503050406030204" pitchFamily="18" charset="0"/>
                </a:rPr>
                <a:t>=〖</a:t>
              </a:r>
              <a:r>
                <a:rPr lang="en-US" sz="1600" b="0" i="0">
                  <a:latin typeface="Cambria Math" panose="02040503050406030204" pitchFamily="18" charset="0"/>
                </a:rPr>
                <a:t>(𝑝𝑐)〗^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r>
                <a:rPr lang="en-US" sz="1600"/>
                <a:t>+ </a:t>
              </a:r>
              <a:r>
                <a:rPr lang="en-US" sz="1600" b="0" i="0">
                  <a:latin typeface="Cambria Math" panose="02040503050406030204" pitchFamily="18" charset="0"/>
                </a:rPr>
                <a:t>〖〖(𝑚〗_0 𝑐^2)〗^2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117443</xdr:colOff>
      <xdr:row>41</xdr:row>
      <xdr:rowOff>135413</xdr:rowOff>
    </xdr:from>
    <xdr:ext cx="1067728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C40D95B-210F-7442-82B3-62B3DE5DF880}"/>
                </a:ext>
              </a:extLst>
            </xdr:cNvPr>
            <xdr:cNvSpPr txBox="1"/>
          </xdr:nvSpPr>
          <xdr:spPr>
            <a:xfrm>
              <a:off x="14709743" y="22309613"/>
              <a:ext cx="1067728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𝑟𝑒𝑙</m:t>
                        </m:r>
                      </m:sub>
                    </m:sSub>
                    <m:sSup>
                      <m:sSup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C40D95B-210F-7442-82B3-62B3DE5DF880}"/>
                </a:ext>
              </a:extLst>
            </xdr:cNvPr>
            <xdr:cNvSpPr txBox="1"/>
          </xdr:nvSpPr>
          <xdr:spPr>
            <a:xfrm>
              <a:off x="14709743" y="22309613"/>
              <a:ext cx="1067728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 b="0" i="0">
                  <a:latin typeface="Cambria Math" panose="02040503050406030204" pitchFamily="18" charset="0"/>
                </a:rPr>
                <a:t>𝑚_𝑟𝑒𝑙 𝑣^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104775</xdr:colOff>
      <xdr:row>42</xdr:row>
      <xdr:rowOff>155575</xdr:rowOff>
    </xdr:from>
    <xdr:ext cx="1896481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F65FA10-43BC-5340-A8AA-4C69D6FB7A1F}"/>
                </a:ext>
              </a:extLst>
            </xdr:cNvPr>
            <xdr:cNvSpPr txBox="1"/>
          </xdr:nvSpPr>
          <xdr:spPr>
            <a:xfrm>
              <a:off x="14697075" y="22837775"/>
              <a:ext cx="1896481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𝑝𝑣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6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600"/>
                <a:t>+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US" sz="16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𝑚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  <m:sSup>
                        <m:sSup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𝑣</m:t>
                          </m:r>
                        </m:e>
                        <m:sup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US" sz="16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F65FA10-43BC-5340-A8AA-4C69D6FB7A1F}"/>
                </a:ext>
              </a:extLst>
            </xdr:cNvPr>
            <xdr:cNvSpPr txBox="1"/>
          </xdr:nvSpPr>
          <xdr:spPr>
            <a:xfrm>
              <a:off x="14697075" y="22837775"/>
              <a:ext cx="1896481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𝐸^2</a:t>
              </a:r>
              <a:r>
                <a:rPr lang="en-US" sz="1600" i="0">
                  <a:latin typeface="Cambria Math" panose="02040503050406030204" pitchFamily="18" charset="0"/>
                </a:rPr>
                <a:t>=〖</a:t>
              </a:r>
              <a:r>
                <a:rPr lang="en-US" sz="1600" b="0" i="0">
                  <a:latin typeface="Cambria Math" panose="02040503050406030204" pitchFamily="18" charset="0"/>
                </a:rPr>
                <a:t>(𝑝𝑣)〗^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r>
                <a:rPr lang="en-US" sz="1600"/>
                <a:t>+ </a:t>
              </a:r>
              <a:r>
                <a:rPr lang="en-US" sz="1600" b="0" i="0">
                  <a:latin typeface="Cambria Math" panose="02040503050406030204" pitchFamily="18" charset="0"/>
                </a:rPr>
                <a:t>〖〖(𝑚〗_0 𝑣^2)〗^2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1390618</xdr:colOff>
      <xdr:row>41</xdr:row>
      <xdr:rowOff>129063</xdr:rowOff>
    </xdr:from>
    <xdr:ext cx="1012137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2A21131-0A66-6442-9C2E-4EDE0933C385}"/>
                </a:ext>
              </a:extLst>
            </xdr:cNvPr>
            <xdr:cNvSpPr txBox="1"/>
          </xdr:nvSpPr>
          <xdr:spPr>
            <a:xfrm>
              <a:off x="15982918" y="22303263"/>
              <a:ext cx="1012137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p>
                        <m:r>
                          <a:rPr lang="en-US" sz="16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2A21131-0A66-6442-9C2E-4EDE0933C385}"/>
                </a:ext>
              </a:extLst>
            </xdr:cNvPr>
            <xdr:cNvSpPr txBox="1"/>
          </xdr:nvSpPr>
          <xdr:spPr>
            <a:xfrm>
              <a:off x="15982918" y="22303263"/>
              <a:ext cx="1012137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𝐸_0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 b="0" i="0">
                  <a:latin typeface="Cambria Math" panose="02040503050406030204" pitchFamily="18" charset="0"/>
                </a:rPr>
                <a:t>𝑚_0 𝑣^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139700</xdr:colOff>
      <xdr:row>18</xdr:row>
      <xdr:rowOff>12700</xdr:rowOff>
    </xdr:from>
    <xdr:ext cx="2084353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F71542B-44B9-2544-B602-01AF3D37A332}"/>
                </a:ext>
              </a:extLst>
            </xdr:cNvPr>
            <xdr:cNvSpPr txBox="1"/>
          </xdr:nvSpPr>
          <xdr:spPr>
            <a:xfrm>
              <a:off x="14732000" y="10274300"/>
              <a:ext cx="2084353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p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num>
                      <m:den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sSup>
                              <m:sSupPr>
                                <m:ctrlP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p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𝐺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F71542B-44B9-2544-B602-01AF3D37A332}"/>
                </a:ext>
              </a:extLst>
            </xdr:cNvPr>
            <xdr:cNvSpPr txBox="1"/>
          </xdr:nvSpPr>
          <xdr:spPr>
            <a:xfrm>
              <a:off x="14732000" y="10274300"/>
              <a:ext cx="2084353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𝐸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=𝑀_0 𝑣^2=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ℏ/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𝑇=√((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ℏ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𝑣^5)/𝐺)</a:t>
              </a:r>
              <a:endParaRPr lang="en-US" sz="16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101600</xdr:colOff>
      <xdr:row>3</xdr:row>
      <xdr:rowOff>12700</xdr:rowOff>
    </xdr:from>
    <xdr:ext cx="1293046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38132F2-77D7-0849-9B44-42D4E9D421E4}"/>
                </a:ext>
              </a:extLst>
            </xdr:cNvPr>
            <xdr:cNvSpPr txBox="1"/>
          </xdr:nvSpPr>
          <xdr:spPr>
            <a:xfrm>
              <a:off x="14693900" y="1536700"/>
              <a:ext cx="1293046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𝜖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38132F2-77D7-0849-9B44-42D4E9D421E4}"/>
                </a:ext>
              </a:extLst>
            </xdr:cNvPr>
            <xdr:cNvSpPr txBox="1"/>
          </xdr:nvSpPr>
          <xdr:spPr>
            <a:xfrm>
              <a:off x="14693900" y="1536700"/>
              <a:ext cx="1293046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𝑐_𝑚𝑎𝑥=√(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1/(𝜖_0 𝜇_0 ))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6</xdr:col>
      <xdr:colOff>127000</xdr:colOff>
      <xdr:row>16</xdr:row>
      <xdr:rowOff>501650</xdr:rowOff>
    </xdr:from>
    <xdr:ext cx="831638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F84DAEB2-93C7-A344-9DBE-E5FFEB26698A}"/>
                </a:ext>
              </a:extLst>
            </xdr:cNvPr>
            <xdr:cNvSpPr txBox="1"/>
          </xdr:nvSpPr>
          <xdr:spPr>
            <a:xfrm>
              <a:off x="14719300" y="9467850"/>
              <a:ext cx="831638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p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F84DAEB2-93C7-A344-9DBE-E5FFEB26698A}"/>
                </a:ext>
              </a:extLst>
            </xdr:cNvPr>
            <xdr:cNvSpPr txBox="1"/>
          </xdr:nvSpPr>
          <xdr:spPr>
            <a:xfrm>
              <a:off x="14719300" y="9467850"/>
              <a:ext cx="831638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𝑟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=√(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ℏ𝐺/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𝑣^3 )</a:t>
              </a:r>
              <a:endParaRPr lang="en-US" sz="16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101600</xdr:colOff>
      <xdr:row>19</xdr:row>
      <xdr:rowOff>63500</xdr:rowOff>
    </xdr:from>
    <xdr:ext cx="966740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4EF0440-E652-6C44-AC53-3671F8D05A41}"/>
                </a:ext>
              </a:extLst>
            </xdr:cNvPr>
            <xdr:cNvSpPr txBox="1"/>
          </xdr:nvSpPr>
          <xdr:spPr>
            <a:xfrm>
              <a:off x="14693900" y="12179300"/>
              <a:ext cx="96674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num>
                          <m:den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</a:rPr>
                              <m:t>𝐺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4EF0440-E652-6C44-AC53-3671F8D05A41}"/>
                </a:ext>
              </a:extLst>
            </xdr:cNvPr>
            <xdr:cNvSpPr txBox="1"/>
          </xdr:nvSpPr>
          <xdr:spPr>
            <a:xfrm>
              <a:off x="14693900" y="12179300"/>
              <a:ext cx="96674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𝑀_0=√(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ℏ𝑣/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𝐺)</a:t>
              </a:r>
              <a:endParaRPr lang="en-US" sz="16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228600</xdr:colOff>
      <xdr:row>24</xdr:row>
      <xdr:rowOff>38100</xdr:rowOff>
    </xdr:from>
    <xdr:ext cx="2022541" cy="7292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366E78-5003-6741-867A-EAFC56D34895}"/>
                </a:ext>
              </a:extLst>
            </xdr:cNvPr>
            <xdr:cNvSpPr txBox="1"/>
          </xdr:nvSpPr>
          <xdr:spPr>
            <a:xfrm>
              <a:off x="14820900" y="16090900"/>
              <a:ext cx="2022541" cy="7292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600" b="0" i="1">
                        <a:solidFill>
                          <a:srgbClr val="C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en-US" sz="1600" b="0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5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𝜋</m:t>
                                </m:r>
                                <m: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𝐺h</m:t>
                                </m:r>
                              </m:den>
                            </m:f>
                          </m:e>
                        </m:rad>
                      </m:num>
                      <m:den>
                        <m:rad>
                          <m:radPr>
                            <m:degHide m:val="on"/>
                            <m:ctrlP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n-US" sz="1600" b="0" i="1">
                                    <a:solidFill>
                                      <a:srgbClr val="C00000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𝑐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p>
                                  <m:sSupPr>
                                    <m:ctrlP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solidFill>
                                          <a:srgbClr val="C00000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  <m:r>
                              <a:rPr lang="en-US" sz="1600" b="0" i="1">
                                <a:solidFill>
                                  <a:srgbClr val="C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16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366E78-5003-6741-867A-EAFC56D34895}"/>
                </a:ext>
              </a:extLst>
            </xdr:cNvPr>
            <xdr:cNvSpPr txBox="1"/>
          </xdr:nvSpPr>
          <xdr:spPr>
            <a:xfrm>
              <a:off x="14820900" y="16090900"/>
              <a:ext cx="2022541" cy="7292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𝑓</a:t>
              </a:r>
              <a:r>
                <a:rPr lang="en-US" sz="16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=√(𝑣^5/2𝜋𝐺ℎ)∕√(𝑐^2/𝑣^2 −1)</a:t>
              </a:r>
              <a:endParaRPr lang="en-US" sz="16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177800</xdr:colOff>
      <xdr:row>5</xdr:row>
      <xdr:rowOff>165100</xdr:rowOff>
    </xdr:from>
    <xdr:ext cx="652678" cy="5358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1BB77EB-1B02-6F46-B67D-1B12993B88CF}"/>
                </a:ext>
              </a:extLst>
            </xdr:cNvPr>
            <xdr:cNvSpPr txBox="1"/>
          </xdr:nvSpPr>
          <xdr:spPr>
            <a:xfrm>
              <a:off x="10236200" y="2933700"/>
              <a:ext cx="652678" cy="535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1BB77EB-1B02-6F46-B67D-1B12993B88CF}"/>
                </a:ext>
              </a:extLst>
            </xdr:cNvPr>
            <xdr:cNvSpPr txBox="1"/>
          </xdr:nvSpPr>
          <xdr:spPr>
            <a:xfrm>
              <a:off x="10236200" y="2933700"/>
              <a:ext cx="652678" cy="535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</a:rPr>
                <a:t>ℎ</a:t>
              </a:r>
              <a:r>
                <a:rPr lang="en-US" sz="1600" b="0" i="0">
                  <a:latin typeface="Cambria Math" panose="02040503050406030204" pitchFamily="18" charset="0"/>
                </a:rPr>
                <a:t>=𝐸_𝑝/𝑇_𝑝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0</xdr:colOff>
      <xdr:row>52</xdr:row>
      <xdr:rowOff>0</xdr:rowOff>
    </xdr:from>
    <xdr:ext cx="3981667" cy="501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658DE0-C5B5-F748-9318-5D8A191BE605}"/>
                </a:ext>
              </a:extLst>
            </xdr:cNvPr>
            <xdr:cNvSpPr txBox="1"/>
          </xdr:nvSpPr>
          <xdr:spPr>
            <a:xfrm>
              <a:off x="10058400" y="32092900"/>
              <a:ext cx="3981667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l-GR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Θ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𝐻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ℏ</m:t>
                      </m:r>
                      <m:sSup>
                        <m:sSup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𝑐</m:t>
                          </m:r>
                        </m:e>
                        <m:sup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3</m:t>
                          </m:r>
                        </m:sup>
                      </m:sSup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8</m:t>
                      </m:r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𝜋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𝐺𝑀</m:t>
                      </m:r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𝑣𝑠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𝑃𝑙𝑎𝑛𝑐𝑘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𝑡𝑒𝑚𝑝𝑒𝑟𝑎𝑡𝑢𝑟𝑒</m:t>
                  </m:r>
                  <m:rad>
                    <m:radPr>
                      <m:degHide m:val="on"/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ℏ</m:t>
                          </m:r>
                          <m:sSup>
                            <m:s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𝑐</m:t>
                              </m:r>
                            </m:e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5</m:t>
                              </m:r>
                            </m:sup>
                          </m:sSup>
                        </m:num>
                        <m:den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𝐺</m:t>
                          </m:r>
                          <m:sSubSup>
                            <m:sSub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𝑘</m:t>
                              </m:r>
                            </m:e>
                            <m:sub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𝐵</m:t>
                              </m:r>
                            </m:sub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bSup>
                        </m:den>
                      </m:f>
                    </m:e>
                  </m:rad>
                </m:oMath>
              </a14:m>
              <a:r>
                <a:rPr lang="en-US" sz="1600"/>
                <a:t>  </a:t>
              </a: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658DE0-C5B5-F748-9318-5D8A191BE605}"/>
                </a:ext>
              </a:extLst>
            </xdr:cNvPr>
            <xdr:cNvSpPr txBox="1"/>
          </xdr:nvSpPr>
          <xdr:spPr>
            <a:xfrm>
              <a:off x="10058400" y="32092900"/>
              <a:ext cx="3981667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_𝐻</a:t>
              </a:r>
              <a:r>
                <a:rPr lang="en-US" sz="1600" b="0" i="0">
                  <a:latin typeface="Cambria Math" panose="02040503050406030204" pitchFamily="18" charset="0"/>
                </a:rPr>
                <a:t>=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(ℏ</a:t>
              </a:r>
              <a:r>
                <a:rPr lang="en-US" sz="1600" b="0" i="0">
                  <a:latin typeface="Cambria Math" panose="02040503050406030204" pitchFamily="18" charset="0"/>
                </a:rPr>
                <a:t>𝑐^3)/(8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600" b="0" i="0">
                  <a:latin typeface="Cambria Math" panose="02040503050406030204" pitchFamily="18" charset="0"/>
                </a:rPr>
                <a:t>𝐺𝑀𝑘_𝐵 ) 𝑣𝑠 𝑃𝑙𝑎𝑛𝑐𝑘 𝑡𝑒𝑚𝑝𝑒𝑟𝑎𝑡𝑢𝑟𝑒√((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</a:t>
              </a:r>
              <a:r>
                <a:rPr lang="en-US" sz="1600" b="0" i="0">
                  <a:latin typeface="Cambria Math" panose="02040503050406030204" pitchFamily="18" charset="0"/>
                </a:rPr>
                <a:t>𝑐^5)/(𝐺𝑘_𝐵^2 ))</a:t>
              </a:r>
              <a:r>
                <a:rPr lang="en-US" sz="1600"/>
                <a:t>  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799353</xdr:colOff>
      <xdr:row>6</xdr:row>
      <xdr:rowOff>119529</xdr:rowOff>
    </xdr:from>
    <xdr:ext cx="977767" cy="298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FFAC3A-B688-3F4A-9707-520E05C493AD}"/>
                </a:ext>
              </a:extLst>
            </xdr:cNvPr>
            <xdr:cNvSpPr txBox="1"/>
          </xdr:nvSpPr>
          <xdr:spPr>
            <a:xfrm>
              <a:off x="7104529" y="1531470"/>
              <a:ext cx="977767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type m:val="lin"/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FFAC3A-B688-3F4A-9707-520E05C493AD}"/>
                </a:ext>
              </a:extLst>
            </xdr:cNvPr>
            <xdr:cNvSpPr txBox="1"/>
          </xdr:nvSpPr>
          <xdr:spPr>
            <a:xfrm>
              <a:off x="7104529" y="1531470"/>
              <a:ext cx="977767" cy="298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i="0">
                  <a:latin typeface="Cambria Math" panose="02040503050406030204" pitchFamily="18" charset="0"/>
                </a:rPr>
                <a:t>√(</a:t>
              </a:r>
              <a:r>
                <a:rPr lang="en-US" sz="1600" b="0" i="0">
                  <a:latin typeface="Cambria Math" panose="02040503050406030204" pitchFamily="18" charset="0"/>
                </a:rPr>
                <a:t>2ℎ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𝛼∕〖𝜇_0 𝑐〗)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7471</xdr:colOff>
      <xdr:row>2</xdr:row>
      <xdr:rowOff>89646</xdr:rowOff>
    </xdr:from>
    <xdr:ext cx="2212850" cy="727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687AD5-9676-3A4B-A0A0-FE34F19292B4}"/>
                </a:ext>
              </a:extLst>
            </xdr:cNvPr>
            <xdr:cNvSpPr txBox="1"/>
          </xdr:nvSpPr>
          <xdr:spPr>
            <a:xfrm>
              <a:off x="7141883" y="694764"/>
              <a:ext cx="221285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ℏ</m:t>
                        </m:r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ℏ</m:t>
                            </m:r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687AD5-9676-3A4B-A0A0-FE34F19292B4}"/>
                </a:ext>
              </a:extLst>
            </xdr:cNvPr>
            <xdr:cNvSpPr txBox="1"/>
          </xdr:nvSpPr>
          <xdr:spPr>
            <a:xfrm>
              <a:off x="7141883" y="694764"/>
              <a:ext cx="2212850" cy="727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𝐸_𝑝=𝑀_𝑝 𝑐^2=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ℏ/</a:t>
              </a:r>
              <a:r>
                <a:rPr lang="en-US" sz="1600" b="0" i="0">
                  <a:latin typeface="Cambria Math" panose="02040503050406030204" pitchFamily="18" charset="0"/>
                </a:rPr>
                <a:t>𝑇_𝑝 =√((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ℏ</a:t>
              </a:r>
              <a:r>
                <a:rPr lang="en-US" sz="1600" b="0" i="0">
                  <a:latin typeface="Cambria Math" panose="02040503050406030204" pitchFamily="18" charset="0"/>
                </a:rPr>
                <a:t>𝑐^5)/𝐺)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5</xdr:col>
      <xdr:colOff>181535</xdr:colOff>
      <xdr:row>10</xdr:row>
      <xdr:rowOff>65741</xdr:rowOff>
    </xdr:from>
    <xdr:ext cx="151964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E9C711-6237-B5AF-5BE6-B608CD5E7ADD}"/>
                </a:ext>
              </a:extLst>
            </xdr:cNvPr>
            <xdr:cNvSpPr txBox="1"/>
          </xdr:nvSpPr>
          <xdr:spPr>
            <a:xfrm>
              <a:off x="7315947" y="2284506"/>
              <a:ext cx="151964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6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𝐺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ra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𝜋𝛼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E9C711-6237-B5AF-5BE6-B608CD5E7ADD}"/>
                </a:ext>
              </a:extLst>
            </xdr:cNvPr>
            <xdr:cNvSpPr txBox="1"/>
          </xdr:nvSpPr>
          <xdr:spPr>
            <a:xfrm>
              <a:off x="7315947" y="2284506"/>
              <a:ext cx="151964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√((</a:t>
              </a:r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1100" b="0" i="0">
                  <a:latin typeface="Cambria Math" panose="02040503050406030204" pitchFamily="18" charset="0"/>
                </a:rPr>
                <a:t>0 𝑐^6)/2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𝜋𝐺2ℎ𝛼</a:t>
              </a:r>
              <a:r>
                <a:rPr lang="en-US" sz="1100" b="0" i="0">
                  <a:latin typeface="Cambria Math" panose="02040503050406030204" pitchFamily="18" charset="0"/>
                </a:rPr>
                <a:t>= )=𝑐^3 </a:t>
              </a:r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1100" b="0" i="0">
                  <a:latin typeface="Cambria Math" panose="02040503050406030204" pitchFamily="18" charset="0"/>
                </a:rPr>
                <a:t>0/4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𝜋𝛼 </a:t>
              </a:r>
              <a:r>
                <a:rPr lang="en-US" sz="1100" b="0" i="0">
                  <a:latin typeface="Cambria Math" panose="02040503050406030204" pitchFamily="18" charset="0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38100</xdr:colOff>
      <xdr:row>3</xdr:row>
      <xdr:rowOff>171450</xdr:rowOff>
    </xdr:from>
    <xdr:ext cx="1699696" cy="2437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2A6F93-AF80-6843-A8D0-D7BA543F5309}"/>
                </a:ext>
              </a:extLst>
            </xdr:cNvPr>
            <xdr:cNvSpPr txBox="1"/>
          </xdr:nvSpPr>
          <xdr:spPr>
            <a:xfrm>
              <a:off x="14414500" y="1441450"/>
              <a:ext cx="1699696" cy="2437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𝑎𝑙𝑡𝑒𝑟𝑛𝑎𝑡𝑒</m:t>
                  </m:r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𝑝𝑟𝑜𝑝𝑜𝑠𝑎𝑙</m:t>
                  </m:r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𝐸</m:t>
                  </m:r>
                  <m:r>
                    <a:rPr lang="en-US" sz="1100" b="0" i="1">
                      <a:solidFill>
                        <a:srgbClr val="C00000"/>
                      </a:solidFill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</a:rPr>
                        <m:t>h𝑣</m:t>
                      </m:r>
                    </m:num>
                    <m:den>
                      <m:r>
                        <a:rPr lang="en-US" sz="1100" b="0" i="1">
                          <a:solidFill>
                            <a:srgbClr val="C0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𝜆</m:t>
                      </m:r>
                    </m:den>
                  </m:f>
                </m:oMath>
              </a14:m>
              <a:r>
                <a:rPr lang="en-US" sz="1100">
                  <a:solidFill>
                    <a:srgbClr val="C00000"/>
                  </a:solidFill>
                </a:rPr>
                <a:t> 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2A6F93-AF80-6843-A8D0-D7BA543F5309}"/>
                </a:ext>
              </a:extLst>
            </xdr:cNvPr>
            <xdr:cNvSpPr txBox="1"/>
          </xdr:nvSpPr>
          <xdr:spPr>
            <a:xfrm>
              <a:off x="14414500" y="1441450"/>
              <a:ext cx="1699696" cy="2437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𝑎𝑙𝑡𝑒𝑟𝑛𝑎𝑡𝑒 𝑝𝑟𝑜𝑝𝑜𝑠𝑎𝑙 𝐸=ℎ𝑣/</a:t>
              </a:r>
              <a:r>
                <a:rPr lang="en-US" sz="1100" b="0" i="0">
                  <a:solidFill>
                    <a:srgbClr val="C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>
                  <a:solidFill>
                    <a:srgbClr val="C00000"/>
                  </a:solidFill>
                </a:rPr>
                <a:t>  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7</xdr:row>
      <xdr:rowOff>82550</xdr:rowOff>
    </xdr:from>
    <xdr:to>
      <xdr:col>13</xdr:col>
      <xdr:colOff>88900</xdr:colOff>
      <xdr:row>46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7D3A7-4F7F-7541-82A3-2FF3D59A3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22</xdr:col>
      <xdr:colOff>387350</xdr:colOff>
      <xdr:row>47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BFF45-A421-7B4A-ADEB-6BCD9CBC9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55BE3-E5B5-A741-B583-000B35A1B0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8564" cy="62848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95B27-1715-D04E-8B85-D7799B8919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8564" cy="62848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BC4E3-4FCC-C142-97FF-7C5705E91A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F5BE5-4366-EB4F-A4FE-682796BF2C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7536-0603-5847-9966-FE92F10D9B80}">
  <dimension ref="A3:M71"/>
  <sheetViews>
    <sheetView tabSelected="1" topLeftCell="A18" zoomScaleNormal="100" workbookViewId="0">
      <selection activeCell="B65" sqref="B65"/>
    </sheetView>
  </sheetViews>
  <sheetFormatPr baseColWidth="10" defaultColWidth="10.83203125" defaultRowHeight="40" customHeight="1" x14ac:dyDescent="0.25"/>
  <cols>
    <col min="1" max="1" width="10.83203125" style="1"/>
    <col min="2" max="2" width="55.33203125" style="1" customWidth="1"/>
    <col min="3" max="3" width="23.33203125" style="3" bestFit="1" customWidth="1"/>
    <col min="4" max="4" width="31.83203125" style="1" bestFit="1" customWidth="1"/>
    <col min="5" max="5" width="24" style="1" bestFit="1" customWidth="1"/>
    <col min="6" max="8" width="59.5" style="1" customWidth="1"/>
    <col min="9" max="10" width="23.33203125" style="3" customWidth="1"/>
    <col min="11" max="11" width="100.1640625" style="1" bestFit="1" customWidth="1"/>
    <col min="12" max="12" width="146.33203125" style="1" customWidth="1"/>
    <col min="13" max="16384" width="10.83203125" style="1"/>
  </cols>
  <sheetData>
    <row r="3" spans="1:13" ht="40" customHeight="1" x14ac:dyDescent="0.25">
      <c r="B3" s="8" t="s">
        <v>0</v>
      </c>
      <c r="C3" s="3" t="s">
        <v>1</v>
      </c>
      <c r="D3" s="1" t="s">
        <v>2</v>
      </c>
      <c r="E3" s="1" t="s">
        <v>3</v>
      </c>
      <c r="F3" s="1" t="s">
        <v>112</v>
      </c>
      <c r="G3" s="1" t="s">
        <v>111</v>
      </c>
      <c r="H3" s="1" t="s">
        <v>115</v>
      </c>
      <c r="I3" s="203" t="s">
        <v>26</v>
      </c>
      <c r="J3" s="203"/>
      <c r="K3" s="1" t="s">
        <v>12</v>
      </c>
      <c r="L3" s="1" t="s">
        <v>37</v>
      </c>
    </row>
    <row r="4" spans="1:13" ht="58" customHeight="1" x14ac:dyDescent="0.25">
      <c r="B4" s="1" t="s">
        <v>4</v>
      </c>
      <c r="C4" s="3">
        <v>299792458</v>
      </c>
      <c r="D4" s="2" t="s">
        <v>10</v>
      </c>
      <c r="E4" s="1" t="s">
        <v>11</v>
      </c>
      <c r="G4" s="30" t="s">
        <v>116</v>
      </c>
      <c r="I4" s="9">
        <f>Lp/Tp</f>
        <v>299792457.99999994</v>
      </c>
      <c r="J4" s="9"/>
      <c r="K4" s="1" t="s">
        <v>13</v>
      </c>
    </row>
    <row r="5" spans="1:13" ht="40" customHeight="1" x14ac:dyDescent="0.25">
      <c r="B5" s="1" t="s">
        <v>7</v>
      </c>
      <c r="C5" s="3">
        <v>6.6742999999999994E-11</v>
      </c>
      <c r="D5" s="2" t="s">
        <v>14</v>
      </c>
      <c r="E5" s="1" t="s">
        <v>58</v>
      </c>
      <c r="I5" s="9"/>
      <c r="J5" s="9"/>
    </row>
    <row r="6" spans="1:13" ht="66" customHeight="1" x14ac:dyDescent="0.35">
      <c r="B6" s="1" t="s">
        <v>8</v>
      </c>
      <c r="C6" s="7">
        <v>6.6260701499999998E-34</v>
      </c>
      <c r="D6" s="1" t="s">
        <v>15</v>
      </c>
      <c r="E6" s="1" t="s">
        <v>11</v>
      </c>
      <c r="F6" s="36" t="s">
        <v>43</v>
      </c>
      <c r="G6" s="5"/>
      <c r="H6" s="5"/>
      <c r="I6" s="9"/>
      <c r="J6" s="9"/>
      <c r="K6" s="12" t="s">
        <v>59</v>
      </c>
      <c r="L6" s="5" t="s">
        <v>39</v>
      </c>
      <c r="M6" s="1" t="s">
        <v>60</v>
      </c>
    </row>
    <row r="7" spans="1:13" ht="40" customHeight="1" x14ac:dyDescent="0.25">
      <c r="B7" s="1" t="s">
        <v>9</v>
      </c>
      <c r="C7" s="3">
        <f>C6/(2*PI())</f>
        <v>1.0545718176461565E-34</v>
      </c>
      <c r="D7" s="1" t="s">
        <v>15</v>
      </c>
      <c r="E7" s="1" t="s">
        <v>11</v>
      </c>
      <c r="F7" s="33" t="s">
        <v>109</v>
      </c>
      <c r="G7" s="29"/>
      <c r="H7" s="29"/>
      <c r="I7" s="9"/>
      <c r="J7" s="9"/>
    </row>
    <row r="8" spans="1:13" ht="40" customHeight="1" x14ac:dyDescent="0.4">
      <c r="B8" s="1" t="s">
        <v>47</v>
      </c>
      <c r="C8" s="7">
        <v>1.3806485199999999E-23</v>
      </c>
      <c r="D8" s="2" t="s">
        <v>32</v>
      </c>
      <c r="E8" s="1" t="s">
        <v>11</v>
      </c>
      <c r="F8" s="5" t="s">
        <v>27</v>
      </c>
      <c r="G8" s="5"/>
      <c r="H8" s="5"/>
      <c r="I8" s="9"/>
      <c r="J8" s="9"/>
      <c r="L8" s="5" t="s">
        <v>39</v>
      </c>
    </row>
    <row r="9" spans="1:13" ht="40" customHeight="1" x14ac:dyDescent="0.4">
      <c r="B9" s="1" t="s">
        <v>48</v>
      </c>
      <c r="C9" s="3">
        <v>8987551787.3681698</v>
      </c>
      <c r="D9" s="2" t="s">
        <v>31</v>
      </c>
      <c r="E9" s="1" t="s">
        <v>11</v>
      </c>
      <c r="F9" s="1" t="s">
        <v>33</v>
      </c>
      <c r="I9" s="9"/>
      <c r="J9" s="9"/>
    </row>
    <row r="10" spans="1:13" ht="106" x14ac:dyDescent="0.4">
      <c r="B10" s="1" t="s">
        <v>46</v>
      </c>
      <c r="C10" s="3">
        <f>1/(4*PI()*Ke)</f>
        <v>8.8541878176203972E-12</v>
      </c>
      <c r="D10" s="2" t="s">
        <v>36</v>
      </c>
      <c r="E10" s="1" t="s">
        <v>35</v>
      </c>
      <c r="I10" s="9">
        <f>1/(u0*c_*c_)</f>
        <v>8.8541878103422467E-12</v>
      </c>
      <c r="J10" s="9">
        <f>E*E/(2*fsc*h*c_)</f>
        <v>8.8541878176203972E-12</v>
      </c>
      <c r="K10" s="1" t="s">
        <v>34</v>
      </c>
      <c r="L10" s="4" t="s">
        <v>38</v>
      </c>
    </row>
    <row r="11" spans="1:13" ht="56" customHeight="1" x14ac:dyDescent="0.4">
      <c r="B11" s="1" t="s">
        <v>45</v>
      </c>
      <c r="C11" s="3">
        <f>4*PI()*0.0000001000000000822</f>
        <v>1.2566370624688729E-6</v>
      </c>
      <c r="D11" s="2"/>
      <c r="E11" s="1" t="s">
        <v>58</v>
      </c>
      <c r="I11" s="9">
        <f>2*fsc*h/(E*E*c_)</f>
        <v>1.2566370614359164E-6</v>
      </c>
      <c r="J11" s="9"/>
    </row>
    <row r="12" spans="1:13" ht="40" customHeight="1" x14ac:dyDescent="0.35">
      <c r="B12" s="1" t="s">
        <v>40</v>
      </c>
      <c r="C12" s="7">
        <v>1.6021766339999999E-19</v>
      </c>
      <c r="D12" s="2" t="s">
        <v>56</v>
      </c>
      <c r="F12" s="5" t="s">
        <v>41</v>
      </c>
      <c r="G12" s="5"/>
      <c r="H12" s="5"/>
      <c r="I12" s="9"/>
      <c r="J12" s="9"/>
      <c r="L12" s="5" t="s">
        <v>39</v>
      </c>
    </row>
    <row r="13" spans="1:13" ht="40" customHeight="1" x14ac:dyDescent="0.4">
      <c r="B13" s="1" t="s">
        <v>44</v>
      </c>
      <c r="C13" s="7">
        <v>6.0221407599999999E+23</v>
      </c>
      <c r="D13" s="2" t="s">
        <v>54</v>
      </c>
      <c r="F13" s="5" t="s">
        <v>42</v>
      </c>
      <c r="G13" s="5"/>
      <c r="H13" s="5"/>
      <c r="I13" s="9"/>
      <c r="J13" s="9"/>
      <c r="L13" s="5" t="s">
        <v>39</v>
      </c>
    </row>
    <row r="14" spans="1:13" ht="64" customHeight="1" x14ac:dyDescent="0.25">
      <c r="A14" s="1">
        <f>1/fsc</f>
        <v>137.03599915871345</v>
      </c>
      <c r="B14" s="1" t="s">
        <v>49</v>
      </c>
      <c r="C14" s="3">
        <f>E*E/(4*PI()*E0*hbar*c_)</f>
        <v>7.297352565305208E-3</v>
      </c>
      <c r="D14" s="2" t="s">
        <v>57</v>
      </c>
      <c r="E14" s="1" t="s">
        <v>35</v>
      </c>
      <c r="F14"/>
      <c r="G14"/>
      <c r="H14"/>
      <c r="I14" s="9">
        <f>u0*E*E*c_/(4*PI()*hbar)</f>
        <v>7.2973525713036381E-3</v>
      </c>
      <c r="J14" s="9">
        <f>Ke*E*E/(hbar*c_)</f>
        <v>7.297352565305208E-3</v>
      </c>
      <c r="K14" s="1" t="s">
        <v>50</v>
      </c>
      <c r="L14"/>
    </row>
    <row r="15" spans="1:13" ht="40" customHeight="1" x14ac:dyDescent="0.35">
      <c r="B15" s="1" t="s">
        <v>51</v>
      </c>
      <c r="C15" s="7">
        <v>1</v>
      </c>
      <c r="D15" s="2" t="s">
        <v>55</v>
      </c>
      <c r="F15" s="5" t="s">
        <v>53</v>
      </c>
      <c r="G15" s="5"/>
      <c r="H15" s="5"/>
      <c r="I15" s="9"/>
      <c r="J15" s="9"/>
      <c r="L15" s="6" t="s">
        <v>52</v>
      </c>
    </row>
    <row r="16" spans="1:13" ht="40" customHeight="1" x14ac:dyDescent="0.25">
      <c r="D16" s="51"/>
      <c r="I16" s="9"/>
      <c r="J16" s="9"/>
    </row>
    <row r="17" spans="2:12" ht="40" customHeight="1" x14ac:dyDescent="0.25">
      <c r="B17" s="8" t="s">
        <v>5</v>
      </c>
      <c r="I17" s="9"/>
      <c r="J17" s="9"/>
    </row>
    <row r="18" spans="2:12" ht="62" customHeight="1" x14ac:dyDescent="0.25">
      <c r="B18" s="1" t="s">
        <v>22</v>
      </c>
      <c r="C18" s="3">
        <f>SQRT(hbar*G/POWER(c_,3))</f>
        <v>1.6162550244237053E-35</v>
      </c>
      <c r="D18" s="1" t="s">
        <v>23</v>
      </c>
      <c r="E18" s="1" t="s">
        <v>11</v>
      </c>
      <c r="G18" s="31"/>
      <c r="I18" s="9"/>
      <c r="J18" s="9"/>
    </row>
    <row r="19" spans="2:12" ht="62" customHeight="1" x14ac:dyDescent="0.25">
      <c r="B19" s="1" t="s">
        <v>6</v>
      </c>
      <c r="C19" s="3">
        <f>SQRT(hbar*POWER(c_,5)/G)</f>
        <v>1956081636.6983728</v>
      </c>
      <c r="D19" s="2" t="s">
        <v>16</v>
      </c>
      <c r="E19" s="1" t="s">
        <v>11</v>
      </c>
      <c r="I19" s="9">
        <f>Mp*c_*c_</f>
        <v>1956081636.6983728</v>
      </c>
      <c r="J19" s="9">
        <f>hbar/Tp</f>
        <v>1956081636.6983728</v>
      </c>
      <c r="K19" s="3">
        <f>Ep*C29</f>
        <v>1.2208901290856818E+28</v>
      </c>
      <c r="L19" s="1" t="s">
        <v>64</v>
      </c>
    </row>
    <row r="20" spans="2:12" ht="62" customHeight="1" x14ac:dyDescent="0.25">
      <c r="B20" s="1" t="s">
        <v>18</v>
      </c>
      <c r="C20" s="3">
        <f>SQRT(hbar*c_/G)</f>
        <v>2.1764343427178984E-8</v>
      </c>
      <c r="D20" s="1" t="s">
        <v>19</v>
      </c>
      <c r="E20" s="1" t="s">
        <v>11</v>
      </c>
      <c r="I20" s="9">
        <f>Ep/c_/c_</f>
        <v>2.1764343427178984E-8</v>
      </c>
      <c r="J20" s="9"/>
    </row>
    <row r="21" spans="2:12" ht="62" customHeight="1" x14ac:dyDescent="0.25">
      <c r="B21" s="1" t="s">
        <v>17</v>
      </c>
      <c r="C21" s="3">
        <f>SQRT(hbar*G/POWER(c_,5))</f>
        <v>5.3912464483136046E-44</v>
      </c>
      <c r="D21" s="2" t="s">
        <v>20</v>
      </c>
      <c r="E21" s="1" t="s">
        <v>11</v>
      </c>
      <c r="I21" s="9">
        <f>Lp/c_</f>
        <v>5.3912464483136036E-44</v>
      </c>
      <c r="J21" s="9">
        <f>hbar/(Mp*POWER(c_,2))</f>
        <v>5.3912464483136046E-44</v>
      </c>
    </row>
    <row r="22" spans="2:12" ht="62" customHeight="1" x14ac:dyDescent="0.25">
      <c r="B22" s="1" t="s">
        <v>21</v>
      </c>
      <c r="C22" s="3">
        <f>SQRT(hbar*POWER(c_,5)/(kB*kB*G))</f>
        <v>1.4167846547203579E+32</v>
      </c>
      <c r="D22" s="1" t="s">
        <v>28</v>
      </c>
      <c r="E22" s="1" t="s">
        <v>11</v>
      </c>
      <c r="H22" s="35"/>
      <c r="I22" s="9">
        <f>Mp*c_*c_/kB</f>
        <v>1.4167846547203579E+32</v>
      </c>
      <c r="J22" s="9"/>
    </row>
    <row r="23" spans="2:12" ht="62" customHeight="1" x14ac:dyDescent="0.25">
      <c r="B23" s="1" t="s">
        <v>29</v>
      </c>
      <c r="C23" s="3">
        <f>SQRT(4*PI()*E0*hbar*c_)</f>
        <v>1.8755460382902121E-18</v>
      </c>
      <c r="D23" s="1" t="s">
        <v>30</v>
      </c>
      <c r="E23" s="1" t="s">
        <v>11</v>
      </c>
      <c r="G23" s="37" t="s">
        <v>126</v>
      </c>
      <c r="I23" s="9">
        <f>E/SQRT(fsc)</f>
        <v>1.8755460382902121E-18</v>
      </c>
      <c r="J23" s="9"/>
    </row>
    <row r="24" spans="2:12" ht="62" customHeight="1" x14ac:dyDescent="0.25">
      <c r="B24" s="1" t="s">
        <v>24</v>
      </c>
      <c r="C24" s="3">
        <f>2*PI()*SQRT(G*hbar/POWER(c_,3))</f>
        <v>1.0155229822114207E-34</v>
      </c>
      <c r="D24" s="1" t="s">
        <v>81</v>
      </c>
      <c r="E24" s="1" t="s">
        <v>25</v>
      </c>
      <c r="I24" s="9">
        <f>2*PI()*Lp</f>
        <v>1.0155229822114207E-34</v>
      </c>
      <c r="J24" s="9"/>
    </row>
    <row r="25" spans="2:12" ht="62" customHeight="1" x14ac:dyDescent="0.25">
      <c r="B25" s="1" t="s">
        <v>108</v>
      </c>
      <c r="C25" s="3">
        <f>c_/Wp</f>
        <v>2.9520991966835318E+42</v>
      </c>
      <c r="E25" s="1" t="s">
        <v>25</v>
      </c>
      <c r="G25" s="31" t="s">
        <v>118</v>
      </c>
      <c r="H25" s="34">
        <f>430000000000000</f>
        <v>430000000000000</v>
      </c>
      <c r="I25" s="9">
        <f>Op*kB/h</f>
        <v>2.9520991966835318E+42</v>
      </c>
      <c r="J25" s="9">
        <f>SQRT(POWER(c_,5)/(2*PI()*G*h))</f>
        <v>2.9520991966835318E+42</v>
      </c>
    </row>
    <row r="27" spans="2:12" ht="40" customHeight="1" x14ac:dyDescent="0.25">
      <c r="B27" s="13" t="s">
        <v>67</v>
      </c>
    </row>
    <row r="28" spans="2:12" ht="40" customHeight="1" x14ac:dyDescent="0.25">
      <c r="B28" s="1" t="s">
        <v>61</v>
      </c>
      <c r="E28" s="1" t="s">
        <v>11</v>
      </c>
    </row>
    <row r="29" spans="2:12" ht="40" customHeight="1" x14ac:dyDescent="0.25">
      <c r="B29" s="1" t="s">
        <v>63</v>
      </c>
      <c r="C29" s="3">
        <f>1/SQRT(2*h*fsc/(u0*c_))</f>
        <v>6.2415090770260255E+18</v>
      </c>
      <c r="D29" s="1" t="s">
        <v>68</v>
      </c>
      <c r="E29" s="1" t="s">
        <v>11</v>
      </c>
      <c r="K29" s="1" t="s">
        <v>62</v>
      </c>
    </row>
    <row r="30" spans="2:12" ht="40" customHeight="1" x14ac:dyDescent="0.25">
      <c r="B30" s="1" t="s">
        <v>65</v>
      </c>
      <c r="E30" s="1" t="s">
        <v>11</v>
      </c>
      <c r="K30" s="11" t="s">
        <v>66</v>
      </c>
    </row>
    <row r="31" spans="2:12" ht="40" customHeight="1" x14ac:dyDescent="0.25">
      <c r="B31" s="1" t="s">
        <v>70</v>
      </c>
      <c r="D31" s="1" t="s">
        <v>23</v>
      </c>
      <c r="E31" s="1" t="s">
        <v>11</v>
      </c>
      <c r="K31" s="10" t="s">
        <v>69</v>
      </c>
    </row>
    <row r="32" spans="2:12" ht="40" customHeight="1" x14ac:dyDescent="0.25">
      <c r="B32" s="20" t="s">
        <v>71</v>
      </c>
      <c r="D32" s="1" t="s">
        <v>72</v>
      </c>
      <c r="E32" s="1" t="s">
        <v>11</v>
      </c>
      <c r="K32" s="1" t="s">
        <v>80</v>
      </c>
    </row>
    <row r="33" spans="2:11" ht="66" customHeight="1" x14ac:dyDescent="0.25">
      <c r="B33" s="1" t="s">
        <v>78</v>
      </c>
      <c r="D33" s="1" t="s">
        <v>23</v>
      </c>
      <c r="E33" s="10" t="s">
        <v>79</v>
      </c>
    </row>
    <row r="35" spans="2:11" ht="59" customHeight="1" x14ac:dyDescent="0.25">
      <c r="B35" s="1" t="s">
        <v>82</v>
      </c>
      <c r="F35" s="15"/>
      <c r="G35" s="15"/>
      <c r="H35" s="15"/>
      <c r="I35" s="3" t="s">
        <v>87</v>
      </c>
    </row>
    <row r="36" spans="2:11" ht="59" customHeight="1" x14ac:dyDescent="0.25">
      <c r="B36" s="1" t="s">
        <v>83</v>
      </c>
      <c r="I36" s="3" t="s">
        <v>87</v>
      </c>
    </row>
    <row r="37" spans="2:11" ht="59" customHeight="1" x14ac:dyDescent="0.25">
      <c r="B37" s="16" t="s">
        <v>84</v>
      </c>
      <c r="C37" s="32" t="s">
        <v>117</v>
      </c>
      <c r="F37" s="1" t="s">
        <v>85</v>
      </c>
      <c r="K37" s="10" t="s">
        <v>86</v>
      </c>
    </row>
    <row r="38" spans="2:11" ht="59" customHeight="1" x14ac:dyDescent="0.25">
      <c r="B38" s="1" t="s">
        <v>99</v>
      </c>
      <c r="D38" s="28" t="s">
        <v>107</v>
      </c>
    </row>
    <row r="39" spans="2:11" ht="59" customHeight="1" x14ac:dyDescent="0.25">
      <c r="B39" s="1" t="s">
        <v>110</v>
      </c>
      <c r="D39" s="1" t="s">
        <v>49</v>
      </c>
    </row>
    <row r="42" spans="2:11" ht="40" customHeight="1" x14ac:dyDescent="0.25">
      <c r="B42" s="1" t="s">
        <v>113</v>
      </c>
    </row>
    <row r="43" spans="2:11" ht="40" customHeight="1" x14ac:dyDescent="0.25">
      <c r="B43" s="1" t="s">
        <v>114</v>
      </c>
    </row>
    <row r="46" spans="2:11" ht="40" customHeight="1" x14ac:dyDescent="0.25">
      <c r="D46" s="1">
        <f>G</f>
        <v>6.6742999999999994E-11</v>
      </c>
    </row>
    <row r="47" spans="2:11" ht="40" customHeight="1" x14ac:dyDescent="0.25">
      <c r="C47" s="1"/>
      <c r="D47" s="1">
        <f>hbar</f>
        <v>1.0545718176461565E-34</v>
      </c>
    </row>
    <row r="48" spans="2:11" ht="40" customHeight="1" x14ac:dyDescent="0.25">
      <c r="D48" s="1">
        <f>G*hbar</f>
        <v>7.038528682515742E-45</v>
      </c>
    </row>
    <row r="51" spans="2:6" ht="40" customHeight="1" x14ac:dyDescent="0.25">
      <c r="B51" s="1" t="s">
        <v>119</v>
      </c>
    </row>
    <row r="53" spans="2:6" ht="40" customHeight="1" x14ac:dyDescent="0.25">
      <c r="B53" s="1" t="s">
        <v>120</v>
      </c>
    </row>
    <row r="54" spans="2:6" ht="40" customHeight="1" x14ac:dyDescent="0.25">
      <c r="B54" s="1" t="s">
        <v>121</v>
      </c>
      <c r="F54" s="1" t="s">
        <v>122</v>
      </c>
    </row>
    <row r="57" spans="2:6" ht="40" customHeight="1" x14ac:dyDescent="0.25">
      <c r="B57" s="1" t="s">
        <v>124</v>
      </c>
      <c r="D57" s="1">
        <f>Ep/(4*SQRT(2)*POWER(Lp,3))</f>
        <v>8.1899702264926749E+112</v>
      </c>
      <c r="E57" s="1" t="s">
        <v>125</v>
      </c>
    </row>
    <row r="60" spans="2:6" ht="40" customHeight="1" x14ac:dyDescent="0.25">
      <c r="B60" s="1" t="s">
        <v>127</v>
      </c>
      <c r="C60" s="3">
        <f>h*Fp</f>
        <v>1956081636.6983728</v>
      </c>
      <c r="D60" s="1" t="s">
        <v>128</v>
      </c>
    </row>
    <row r="70" spans="2:4" ht="40" customHeight="1" x14ac:dyDescent="0.25">
      <c r="B70" s="1" t="s">
        <v>315</v>
      </c>
      <c r="C70" s="3">
        <f>Lp/Tp</f>
        <v>299792457.99999994</v>
      </c>
      <c r="D70" s="1" t="s">
        <v>316</v>
      </c>
    </row>
    <row r="71" spans="2:4" ht="40" customHeight="1" x14ac:dyDescent="0.25">
      <c r="D71" s="1" t="s">
        <v>317</v>
      </c>
    </row>
  </sheetData>
  <mergeCells count="1">
    <mergeCell ref="I3:J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2913-63FF-F140-8DA6-9A6BF4D8C0DB}">
  <dimension ref="A2:I27"/>
  <sheetViews>
    <sheetView zoomScale="170" zoomScaleNormal="170" workbookViewId="0">
      <selection activeCell="B28" sqref="B28"/>
    </sheetView>
  </sheetViews>
  <sheetFormatPr baseColWidth="10" defaultRowHeight="16" x14ac:dyDescent="0.2"/>
  <cols>
    <col min="2" max="2" width="44.33203125" bestFit="1" customWidth="1"/>
    <col min="3" max="3" width="16.6640625" bestFit="1" customWidth="1"/>
  </cols>
  <sheetData>
    <row r="2" spans="2:9" x14ac:dyDescent="0.2">
      <c r="B2" t="s">
        <v>323</v>
      </c>
    </row>
    <row r="4" spans="2:9" x14ac:dyDescent="0.2">
      <c r="D4" t="s">
        <v>2</v>
      </c>
    </row>
    <row r="5" spans="2:9" x14ac:dyDescent="0.2">
      <c r="B5" t="s">
        <v>6</v>
      </c>
      <c r="C5" s="52">
        <f>Ep</f>
        <v>1956081636.6983728</v>
      </c>
      <c r="D5" t="s">
        <v>72</v>
      </c>
    </row>
    <row r="8" spans="2:9" x14ac:dyDescent="0.2">
      <c r="B8" t="s">
        <v>63</v>
      </c>
      <c r="C8">
        <f>evperj</f>
        <v>6.2415090770260255E+18</v>
      </c>
      <c r="D8" t="s">
        <v>324</v>
      </c>
      <c r="E8" t="s">
        <v>334</v>
      </c>
    </row>
    <row r="10" spans="2:9" x14ac:dyDescent="0.2">
      <c r="B10" t="s">
        <v>6</v>
      </c>
      <c r="C10" s="17">
        <f>C5*C8</f>
        <v>1.2208901290856818E+28</v>
      </c>
      <c r="D10" t="s">
        <v>64</v>
      </c>
    </row>
    <row r="11" spans="2:9" x14ac:dyDescent="0.2">
      <c r="B11" t="s">
        <v>6</v>
      </c>
      <c r="C11" s="53">
        <f>C10/POWER(10,9)</f>
        <v>1.2208901290856819E+19</v>
      </c>
      <c r="D11" s="45" t="s">
        <v>325</v>
      </c>
    </row>
    <row r="12" spans="2:9" x14ac:dyDescent="0.2">
      <c r="I12" t="s">
        <v>335</v>
      </c>
    </row>
    <row r="13" spans="2:9" x14ac:dyDescent="0.2">
      <c r="B13" t="s">
        <v>326</v>
      </c>
      <c r="C13" s="17">
        <f>c_</f>
        <v>299792458</v>
      </c>
      <c r="D13" t="s">
        <v>231</v>
      </c>
      <c r="I13" t="s">
        <v>336</v>
      </c>
    </row>
    <row r="15" spans="2:9" x14ac:dyDescent="0.2">
      <c r="B15" t="s">
        <v>327</v>
      </c>
      <c r="C15" s="17">
        <f>C11/POWER(C13,2)</f>
        <v>135.84234705624934</v>
      </c>
      <c r="D15" t="s">
        <v>328</v>
      </c>
    </row>
    <row r="17" spans="1:8" x14ac:dyDescent="0.2">
      <c r="B17" t="s">
        <v>329</v>
      </c>
    </row>
    <row r="19" spans="1:8" x14ac:dyDescent="0.2">
      <c r="B19" t="s">
        <v>330</v>
      </c>
    </row>
    <row r="21" spans="1:8" ht="73" customHeight="1" x14ac:dyDescent="0.2">
      <c r="A21" t="s">
        <v>331</v>
      </c>
      <c r="B21" s="204" t="s">
        <v>332</v>
      </c>
      <c r="C21" s="204"/>
      <c r="D21" s="204"/>
      <c r="E21" s="204"/>
      <c r="F21" s="204"/>
      <c r="G21" s="204"/>
      <c r="H21" s="204"/>
    </row>
    <row r="23" spans="1:8" x14ac:dyDescent="0.2">
      <c r="B23" t="s">
        <v>333</v>
      </c>
    </row>
    <row r="25" spans="1:8" x14ac:dyDescent="0.2">
      <c r="B25" t="s">
        <v>337</v>
      </c>
      <c r="C25">
        <f>9.411E-25</f>
        <v>9.411E-25</v>
      </c>
      <c r="D25" t="s">
        <v>72</v>
      </c>
    </row>
    <row r="26" spans="1:8" x14ac:dyDescent="0.2">
      <c r="B26" t="s">
        <v>338</v>
      </c>
      <c r="C26" s="17">
        <f>Fp*(C25/C5)</f>
        <v>1420298878.0612292</v>
      </c>
      <c r="D26" t="s">
        <v>77</v>
      </c>
    </row>
    <row r="27" spans="1:8" x14ac:dyDescent="0.2">
      <c r="B27" t="s">
        <v>339</v>
      </c>
    </row>
  </sheetData>
  <mergeCells count="1">
    <mergeCell ref="B21:H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5473-9D6D-BC47-94E5-10EE6DEEE9E4}">
  <dimension ref="B1:Q51"/>
  <sheetViews>
    <sheetView zoomScaleNormal="100" workbookViewId="0">
      <selection activeCell="J8" sqref="J8"/>
    </sheetView>
  </sheetViews>
  <sheetFormatPr baseColWidth="10" defaultColWidth="10.83203125" defaultRowHeight="16" x14ac:dyDescent="0.2"/>
  <cols>
    <col min="1" max="1" width="10.83203125" style="14"/>
    <col min="2" max="2" width="11.6640625" style="14" customWidth="1"/>
    <col min="3" max="3" width="13.33203125" style="14" bestFit="1" customWidth="1"/>
    <col min="4" max="4" width="13.33203125" style="14" customWidth="1"/>
    <col min="5" max="5" width="14" style="14" bestFit="1" customWidth="1"/>
    <col min="6" max="7" width="14" style="14" customWidth="1"/>
    <col min="8" max="16384" width="10.83203125" style="14"/>
  </cols>
  <sheetData>
    <row r="1" spans="2:17" x14ac:dyDescent="0.2">
      <c r="E1" s="21" t="s">
        <v>92</v>
      </c>
      <c r="F1" s="21"/>
      <c r="G1" s="21"/>
    </row>
    <row r="2" spans="2:17" ht="68" x14ac:dyDescent="0.2">
      <c r="B2" s="19" t="s">
        <v>88</v>
      </c>
      <c r="C2" s="19" t="s">
        <v>89</v>
      </c>
      <c r="D2" s="19" t="s">
        <v>94</v>
      </c>
      <c r="E2" s="19" t="s">
        <v>93</v>
      </c>
      <c r="F2" s="22" t="s">
        <v>95</v>
      </c>
      <c r="G2" s="22" t="s">
        <v>97</v>
      </c>
      <c r="H2" s="19" t="s">
        <v>90</v>
      </c>
      <c r="I2" s="19" t="s">
        <v>91</v>
      </c>
    </row>
    <row r="3" spans="2:17" x14ac:dyDescent="0.2">
      <c r="B3" s="18">
        <v>1</v>
      </c>
      <c r="C3" s="18">
        <f>B3</f>
        <v>1</v>
      </c>
      <c r="D3" s="18">
        <f t="shared" ref="D3:D31" si="0">C3*Wp</f>
        <v>1.0155229822114207E-34</v>
      </c>
      <c r="E3" s="18">
        <f t="shared" ref="E3:E31" si="1">Ep*evperj/B3</f>
        <v>1.2208901290856818E+28</v>
      </c>
      <c r="F3" s="18">
        <f t="shared" ref="F3:F31" si="2">evperj*h*c_/D3</f>
        <v>1.220890129085682E+28</v>
      </c>
      <c r="G3" s="18">
        <f>1/C3</f>
        <v>1</v>
      </c>
      <c r="J3" s="14" t="s">
        <v>96</v>
      </c>
      <c r="Q3" s="14" t="s">
        <v>102</v>
      </c>
    </row>
    <row r="4" spans="2:17" x14ac:dyDescent="0.2">
      <c r="B4" s="18">
        <f>10*B3</f>
        <v>10</v>
      </c>
      <c r="C4" s="18">
        <f t="shared" ref="C4:C31" si="3">B4</f>
        <v>10</v>
      </c>
      <c r="D4" s="18">
        <f t="shared" si="0"/>
        <v>1.0155229822114207E-33</v>
      </c>
      <c r="E4" s="18">
        <f t="shared" si="1"/>
        <v>1.2208901290856818E+27</v>
      </c>
      <c r="F4" s="18">
        <f t="shared" si="2"/>
        <v>1.2208901290856822E+27</v>
      </c>
      <c r="G4" s="18">
        <f t="shared" ref="G4:G31" si="4">1/C4</f>
        <v>0.1</v>
      </c>
      <c r="J4" s="14" t="s">
        <v>98</v>
      </c>
    </row>
    <row r="5" spans="2:17" x14ac:dyDescent="0.2">
      <c r="B5" s="18">
        <f t="shared" ref="B5:B31" si="5">10*B4</f>
        <v>100</v>
      </c>
      <c r="C5" s="18">
        <f t="shared" si="3"/>
        <v>100</v>
      </c>
      <c r="D5" s="18">
        <f t="shared" si="0"/>
        <v>1.0155229822114207E-32</v>
      </c>
      <c r="E5" s="18">
        <f t="shared" si="1"/>
        <v>1.2208901290856818E+26</v>
      </c>
      <c r="F5" s="18">
        <f t="shared" si="2"/>
        <v>1.220890129085682E+26</v>
      </c>
      <c r="G5" s="18">
        <f t="shared" si="4"/>
        <v>0.01</v>
      </c>
      <c r="J5" s="14" t="s">
        <v>101</v>
      </c>
    </row>
    <row r="6" spans="2:17" x14ac:dyDescent="0.2">
      <c r="B6" s="18">
        <f t="shared" si="5"/>
        <v>1000</v>
      </c>
      <c r="C6" s="18">
        <f t="shared" si="3"/>
        <v>1000</v>
      </c>
      <c r="D6" s="18">
        <f t="shared" si="0"/>
        <v>1.0155229822114208E-31</v>
      </c>
      <c r="E6" s="18">
        <f t="shared" si="1"/>
        <v>1.2208901290856817E+25</v>
      </c>
      <c r="F6" s="18">
        <f t="shared" si="2"/>
        <v>1.2208901290856819E+25</v>
      </c>
      <c r="G6" s="18">
        <f t="shared" si="4"/>
        <v>1E-3</v>
      </c>
    </row>
    <row r="7" spans="2:17" x14ac:dyDescent="0.2">
      <c r="B7" s="18">
        <f t="shared" si="5"/>
        <v>10000</v>
      </c>
      <c r="C7" s="18">
        <f t="shared" si="3"/>
        <v>10000</v>
      </c>
      <c r="D7" s="18">
        <f t="shared" si="0"/>
        <v>1.0155229822114207E-30</v>
      </c>
      <c r="E7" s="18">
        <f t="shared" si="1"/>
        <v>1.2208901290856817E+24</v>
      </c>
      <c r="F7" s="18">
        <f t="shared" si="2"/>
        <v>1.220890129085682E+24</v>
      </c>
      <c r="G7" s="18">
        <f t="shared" si="4"/>
        <v>1E-4</v>
      </c>
      <c r="J7" s="14" t="s">
        <v>105</v>
      </c>
      <c r="Q7" s="14" t="s">
        <v>103</v>
      </c>
    </row>
    <row r="8" spans="2:17" x14ac:dyDescent="0.2">
      <c r="B8" s="18">
        <f t="shared" si="5"/>
        <v>100000</v>
      </c>
      <c r="C8" s="18">
        <f t="shared" si="3"/>
        <v>100000</v>
      </c>
      <c r="D8" s="18">
        <f t="shared" si="0"/>
        <v>1.0155229822114207E-29</v>
      </c>
      <c r="E8" s="18">
        <f t="shared" si="1"/>
        <v>1.2208901290856818E+23</v>
      </c>
      <c r="F8" s="18">
        <f t="shared" si="2"/>
        <v>1.220890129085682E+23</v>
      </c>
      <c r="G8" s="18">
        <f t="shared" si="4"/>
        <v>1.0000000000000001E-5</v>
      </c>
      <c r="J8" s="14" t="s">
        <v>106</v>
      </c>
    </row>
    <row r="9" spans="2:17" x14ac:dyDescent="0.2">
      <c r="B9" s="18">
        <f t="shared" si="5"/>
        <v>1000000</v>
      </c>
      <c r="C9" s="18">
        <f t="shared" si="3"/>
        <v>1000000</v>
      </c>
      <c r="D9" s="18">
        <f t="shared" si="0"/>
        <v>1.0155229822114207E-28</v>
      </c>
      <c r="E9" s="18">
        <f t="shared" si="1"/>
        <v>1.2208901290856817E+22</v>
      </c>
      <c r="F9" s="18">
        <f t="shared" si="2"/>
        <v>1.2208901290856821E+22</v>
      </c>
      <c r="G9" s="18">
        <f t="shared" si="4"/>
        <v>9.9999999999999995E-7</v>
      </c>
    </row>
    <row r="10" spans="2:17" x14ac:dyDescent="0.2">
      <c r="B10" s="18">
        <f t="shared" si="5"/>
        <v>10000000</v>
      </c>
      <c r="C10" s="18">
        <f t="shared" si="3"/>
        <v>10000000</v>
      </c>
      <c r="D10" s="18">
        <f t="shared" si="0"/>
        <v>1.0155229822114207E-27</v>
      </c>
      <c r="E10" s="18">
        <f t="shared" si="1"/>
        <v>1.2208901290856819E+21</v>
      </c>
      <c r="F10" s="18">
        <f t="shared" si="2"/>
        <v>1.2208901290856822E+21</v>
      </c>
      <c r="G10" s="18">
        <f t="shared" si="4"/>
        <v>9.9999999999999995E-8</v>
      </c>
    </row>
    <row r="11" spans="2:17" x14ac:dyDescent="0.2">
      <c r="B11" s="18">
        <f t="shared" si="5"/>
        <v>100000000</v>
      </c>
      <c r="C11" s="18">
        <f t="shared" si="3"/>
        <v>100000000</v>
      </c>
      <c r="D11" s="18">
        <f t="shared" si="0"/>
        <v>1.0155229822114208E-26</v>
      </c>
      <c r="E11" s="18">
        <f t="shared" si="1"/>
        <v>1.2208901290856818E+20</v>
      </c>
      <c r="F11" s="18">
        <f t="shared" si="2"/>
        <v>1.220890129085682E+20</v>
      </c>
      <c r="G11" s="18">
        <f t="shared" si="4"/>
        <v>1E-8</v>
      </c>
    </row>
    <row r="12" spans="2:17" x14ac:dyDescent="0.2">
      <c r="B12" s="18">
        <f t="shared" si="5"/>
        <v>1000000000</v>
      </c>
      <c r="C12" s="18">
        <f t="shared" si="3"/>
        <v>1000000000</v>
      </c>
      <c r="D12" s="18">
        <f t="shared" si="0"/>
        <v>1.0155229822114208E-25</v>
      </c>
      <c r="E12" s="18">
        <f t="shared" si="1"/>
        <v>1.2208901290856819E+19</v>
      </c>
      <c r="F12" s="18">
        <f t="shared" si="2"/>
        <v>1.2208901290856821E+19</v>
      </c>
      <c r="G12" s="18">
        <f t="shared" si="4"/>
        <v>1.0000000000000001E-9</v>
      </c>
    </row>
    <row r="13" spans="2:17" x14ac:dyDescent="0.2">
      <c r="B13" s="18">
        <f t="shared" si="5"/>
        <v>10000000000</v>
      </c>
      <c r="C13" s="18">
        <f t="shared" si="3"/>
        <v>10000000000</v>
      </c>
      <c r="D13" s="18">
        <f t="shared" si="0"/>
        <v>1.0155229822114207E-24</v>
      </c>
      <c r="E13" s="18">
        <f t="shared" si="1"/>
        <v>1.2208901290856817E+18</v>
      </c>
      <c r="F13" s="18">
        <f t="shared" si="2"/>
        <v>1.2208901290856822E+18</v>
      </c>
      <c r="G13" s="18">
        <f t="shared" si="4"/>
        <v>1E-10</v>
      </c>
    </row>
    <row r="14" spans="2:17" x14ac:dyDescent="0.2">
      <c r="B14" s="18">
        <f t="shared" si="5"/>
        <v>100000000000</v>
      </c>
      <c r="C14" s="18">
        <f t="shared" si="3"/>
        <v>100000000000</v>
      </c>
      <c r="D14" s="18">
        <f t="shared" si="0"/>
        <v>1.0155229822114208E-23</v>
      </c>
      <c r="E14" s="18">
        <f t="shared" si="1"/>
        <v>1.2208901290856818E+17</v>
      </c>
      <c r="F14" s="18">
        <f t="shared" si="2"/>
        <v>1.2208901290856821E+17</v>
      </c>
      <c r="G14" s="18">
        <f t="shared" si="4"/>
        <v>9.9999999999999994E-12</v>
      </c>
    </row>
    <row r="15" spans="2:17" x14ac:dyDescent="0.2">
      <c r="B15" s="18">
        <f t="shared" si="5"/>
        <v>1000000000000</v>
      </c>
      <c r="C15" s="18">
        <f t="shared" si="3"/>
        <v>1000000000000</v>
      </c>
      <c r="D15" s="18">
        <f t="shared" si="0"/>
        <v>1.0155229822114207E-22</v>
      </c>
      <c r="E15" s="18">
        <f t="shared" si="1"/>
        <v>1.2208901290856818E+16</v>
      </c>
      <c r="F15" s="18">
        <f t="shared" si="2"/>
        <v>1.2208901290856822E+16</v>
      </c>
      <c r="G15" s="18">
        <f t="shared" si="4"/>
        <v>9.9999999999999998E-13</v>
      </c>
    </row>
    <row r="16" spans="2:17" x14ac:dyDescent="0.2">
      <c r="B16" s="18">
        <f t="shared" si="5"/>
        <v>10000000000000</v>
      </c>
      <c r="C16" s="18">
        <f t="shared" si="3"/>
        <v>10000000000000</v>
      </c>
      <c r="D16" s="18">
        <f t="shared" si="0"/>
        <v>1.0155229822114207E-21</v>
      </c>
      <c r="E16" s="18">
        <f t="shared" si="1"/>
        <v>1220890129085681.8</v>
      </c>
      <c r="F16" s="18">
        <f t="shared" si="2"/>
        <v>1220890129085682.2</v>
      </c>
      <c r="G16" s="18">
        <f t="shared" si="4"/>
        <v>1E-13</v>
      </c>
    </row>
    <row r="17" spans="2:7" x14ac:dyDescent="0.2">
      <c r="B17" s="18">
        <f t="shared" si="5"/>
        <v>100000000000000</v>
      </c>
      <c r="C17" s="18">
        <f t="shared" si="3"/>
        <v>100000000000000</v>
      </c>
      <c r="D17" s="18">
        <f t="shared" si="0"/>
        <v>1.0155229822114208E-20</v>
      </c>
      <c r="E17" s="18">
        <f t="shared" si="1"/>
        <v>122089012908568.17</v>
      </c>
      <c r="F17" s="18">
        <f t="shared" si="2"/>
        <v>122089012908568.2</v>
      </c>
      <c r="G17" s="18">
        <f t="shared" si="4"/>
        <v>1E-14</v>
      </c>
    </row>
    <row r="18" spans="2:7" x14ac:dyDescent="0.2">
      <c r="B18" s="18">
        <f t="shared" si="5"/>
        <v>1000000000000000</v>
      </c>
      <c r="C18" s="18">
        <f t="shared" si="3"/>
        <v>1000000000000000</v>
      </c>
      <c r="D18" s="18">
        <f t="shared" si="0"/>
        <v>1.0155229822114207E-19</v>
      </c>
      <c r="E18" s="18">
        <f t="shared" si="1"/>
        <v>12208901290856.818</v>
      </c>
      <c r="F18" s="18">
        <f t="shared" si="2"/>
        <v>12208901290856.82</v>
      </c>
      <c r="G18" s="18">
        <f t="shared" si="4"/>
        <v>1.0000000000000001E-15</v>
      </c>
    </row>
    <row r="19" spans="2:7" x14ac:dyDescent="0.2">
      <c r="B19" s="18">
        <f t="shared" si="5"/>
        <v>1E+16</v>
      </c>
      <c r="C19" s="18">
        <f t="shared" si="3"/>
        <v>1E+16</v>
      </c>
      <c r="D19" s="18">
        <f t="shared" si="0"/>
        <v>1.0155229822114208E-18</v>
      </c>
      <c r="E19" s="18">
        <f t="shared" si="1"/>
        <v>1220890129085.6819</v>
      </c>
      <c r="F19" s="18">
        <f t="shared" si="2"/>
        <v>1220890129085.6819</v>
      </c>
      <c r="G19" s="18">
        <f t="shared" si="4"/>
        <v>9.9999999999999998E-17</v>
      </c>
    </row>
    <row r="20" spans="2:7" x14ac:dyDescent="0.2">
      <c r="B20" s="18">
        <f t="shared" si="5"/>
        <v>1E+17</v>
      </c>
      <c r="C20" s="18">
        <f t="shared" si="3"/>
        <v>1E+17</v>
      </c>
      <c r="D20" s="18">
        <f t="shared" si="0"/>
        <v>1.0155229822114207E-17</v>
      </c>
      <c r="E20" s="18">
        <f t="shared" si="1"/>
        <v>122089012908.56818</v>
      </c>
      <c r="F20" s="18">
        <f t="shared" si="2"/>
        <v>122089012908.56822</v>
      </c>
      <c r="G20" s="18">
        <f t="shared" si="4"/>
        <v>1.0000000000000001E-17</v>
      </c>
    </row>
    <row r="21" spans="2:7" x14ac:dyDescent="0.2">
      <c r="B21" s="18">
        <f t="shared" si="5"/>
        <v>1E+18</v>
      </c>
      <c r="C21" s="18">
        <f t="shared" si="3"/>
        <v>1E+18</v>
      </c>
      <c r="D21" s="18">
        <f t="shared" si="0"/>
        <v>1.0155229822114208E-16</v>
      </c>
      <c r="E21" s="18">
        <f t="shared" si="1"/>
        <v>12208901290.856817</v>
      </c>
      <c r="F21" s="18">
        <f t="shared" si="2"/>
        <v>12208901290.856821</v>
      </c>
      <c r="G21" s="18">
        <f t="shared" si="4"/>
        <v>1.0000000000000001E-18</v>
      </c>
    </row>
    <row r="22" spans="2:7" x14ac:dyDescent="0.2">
      <c r="B22" s="18">
        <f t="shared" si="5"/>
        <v>1E+19</v>
      </c>
      <c r="C22" s="18">
        <f t="shared" si="3"/>
        <v>1E+19</v>
      </c>
      <c r="D22" s="18">
        <f t="shared" si="0"/>
        <v>1.0155229822114207E-15</v>
      </c>
      <c r="E22" s="18">
        <f t="shared" si="1"/>
        <v>1220890129.0856817</v>
      </c>
      <c r="F22" s="18">
        <f t="shared" si="2"/>
        <v>1220890129.0856822</v>
      </c>
      <c r="G22" s="18">
        <f t="shared" si="4"/>
        <v>9.9999999999999998E-20</v>
      </c>
    </row>
    <row r="23" spans="2:7" x14ac:dyDescent="0.2">
      <c r="B23" s="18">
        <f t="shared" si="5"/>
        <v>1E+20</v>
      </c>
      <c r="C23" s="18">
        <f t="shared" si="3"/>
        <v>1E+20</v>
      </c>
      <c r="D23" s="18">
        <f t="shared" si="0"/>
        <v>1.0155229822114207E-14</v>
      </c>
      <c r="E23" s="18">
        <f t="shared" si="1"/>
        <v>122089012.90856817</v>
      </c>
      <c r="F23" s="18">
        <f t="shared" si="2"/>
        <v>122089012.9085682</v>
      </c>
      <c r="G23" s="18">
        <f t="shared" si="4"/>
        <v>9.9999999999999995E-21</v>
      </c>
    </row>
    <row r="24" spans="2:7" x14ac:dyDescent="0.2">
      <c r="B24" s="18">
        <f t="shared" si="5"/>
        <v>1E+21</v>
      </c>
      <c r="C24" s="18">
        <f t="shared" si="3"/>
        <v>1E+21</v>
      </c>
      <c r="D24" s="18">
        <f t="shared" si="0"/>
        <v>1.0155229822114207E-13</v>
      </c>
      <c r="E24" s="18">
        <f t="shared" si="1"/>
        <v>12208901.290856818</v>
      </c>
      <c r="F24" s="18">
        <f t="shared" si="2"/>
        <v>12208901.290856821</v>
      </c>
      <c r="G24" s="18">
        <f t="shared" si="4"/>
        <v>9.9999999999999991E-22</v>
      </c>
    </row>
    <row r="25" spans="2:7" x14ac:dyDescent="0.2">
      <c r="B25" s="18">
        <f t="shared" si="5"/>
        <v>1E+22</v>
      </c>
      <c r="C25" s="18">
        <f t="shared" si="3"/>
        <v>1E+22</v>
      </c>
      <c r="D25" s="18">
        <f t="shared" si="0"/>
        <v>1.0155229822114208E-12</v>
      </c>
      <c r="E25" s="18">
        <f t="shared" si="1"/>
        <v>1220890.1290856819</v>
      </c>
      <c r="F25" s="18">
        <f t="shared" si="2"/>
        <v>1220890.1290856821</v>
      </c>
      <c r="G25" s="18">
        <f t="shared" si="4"/>
        <v>1E-22</v>
      </c>
    </row>
    <row r="26" spans="2:7" x14ac:dyDescent="0.2">
      <c r="B26" s="18">
        <f t="shared" si="5"/>
        <v>9.9999999999999992E+22</v>
      </c>
      <c r="C26" s="18">
        <f t="shared" si="3"/>
        <v>9.9999999999999992E+22</v>
      </c>
      <c r="D26" s="18">
        <f t="shared" si="0"/>
        <v>1.0155229822114206E-11</v>
      </c>
      <c r="E26" s="18">
        <f t="shared" si="1"/>
        <v>122089.01290856818</v>
      </c>
      <c r="F26" s="18">
        <f t="shared" si="2"/>
        <v>122089.01290856821</v>
      </c>
      <c r="G26" s="18">
        <f t="shared" si="4"/>
        <v>1.0000000000000001E-23</v>
      </c>
    </row>
    <row r="27" spans="2:7" x14ac:dyDescent="0.2">
      <c r="B27" s="18">
        <f t="shared" si="5"/>
        <v>9.9999999999999998E+23</v>
      </c>
      <c r="C27" s="18">
        <f t="shared" si="3"/>
        <v>9.9999999999999998E+23</v>
      </c>
      <c r="D27" s="18">
        <f t="shared" si="0"/>
        <v>1.0155229822114207E-10</v>
      </c>
      <c r="E27" s="18">
        <f t="shared" si="1"/>
        <v>12208.901290856818</v>
      </c>
      <c r="F27" s="18">
        <f t="shared" si="2"/>
        <v>12208.901290856822</v>
      </c>
      <c r="G27" s="18">
        <f t="shared" si="4"/>
        <v>1.0000000000000001E-24</v>
      </c>
    </row>
    <row r="28" spans="2:7" x14ac:dyDescent="0.2">
      <c r="B28" s="18">
        <f t="shared" si="5"/>
        <v>9.9999999999999988E+24</v>
      </c>
      <c r="C28" s="18">
        <f t="shared" si="3"/>
        <v>9.9999999999999988E+24</v>
      </c>
      <c r="D28" s="18">
        <f t="shared" si="0"/>
        <v>1.0155229822114207E-9</v>
      </c>
      <c r="E28" s="18">
        <f t="shared" si="1"/>
        <v>1220.890129085682</v>
      </c>
      <c r="F28" s="18">
        <f t="shared" si="2"/>
        <v>1220.890129085682</v>
      </c>
      <c r="G28" s="18">
        <f t="shared" si="4"/>
        <v>1.0000000000000002E-25</v>
      </c>
    </row>
    <row r="29" spans="2:7" x14ac:dyDescent="0.2">
      <c r="B29" s="18">
        <f t="shared" si="5"/>
        <v>9.9999999999999988E+25</v>
      </c>
      <c r="C29" s="18">
        <f t="shared" si="3"/>
        <v>9.9999999999999988E+25</v>
      </c>
      <c r="D29" s="18">
        <f t="shared" si="0"/>
        <v>1.0155229822114207E-8</v>
      </c>
      <c r="E29" s="23">
        <f t="shared" si="1"/>
        <v>122.08901290856819</v>
      </c>
      <c r="F29" s="23">
        <f t="shared" si="2"/>
        <v>122.08901290856822</v>
      </c>
      <c r="G29" s="18">
        <f t="shared" si="4"/>
        <v>1.0000000000000002E-26</v>
      </c>
    </row>
    <row r="30" spans="2:7" x14ac:dyDescent="0.2">
      <c r="B30" s="18">
        <f t="shared" si="5"/>
        <v>9.9999999999999988E+26</v>
      </c>
      <c r="C30" s="18">
        <f t="shared" si="3"/>
        <v>9.9999999999999988E+26</v>
      </c>
      <c r="D30" s="18">
        <f t="shared" si="0"/>
        <v>1.0155229822114206E-7</v>
      </c>
      <c r="E30" s="23">
        <f t="shared" si="1"/>
        <v>12.208901290856819</v>
      </c>
      <c r="F30" s="23">
        <f t="shared" si="2"/>
        <v>12.208901290856822</v>
      </c>
      <c r="G30" s="18">
        <f t="shared" si="4"/>
        <v>1E-27</v>
      </c>
    </row>
    <row r="31" spans="2:7" x14ac:dyDescent="0.2">
      <c r="B31" s="18">
        <f t="shared" si="5"/>
        <v>9.9999999999999996E+27</v>
      </c>
      <c r="C31" s="18">
        <f t="shared" si="3"/>
        <v>9.9999999999999996E+27</v>
      </c>
      <c r="D31" s="18">
        <f t="shared" si="0"/>
        <v>1.0155229822114207E-6</v>
      </c>
      <c r="E31" s="18">
        <f t="shared" si="1"/>
        <v>1.2208901290856817</v>
      </c>
      <c r="F31" s="18">
        <f t="shared" si="2"/>
        <v>1.2208901290856822</v>
      </c>
      <c r="G31" s="18">
        <f t="shared" si="4"/>
        <v>1.0000000000000001E-28</v>
      </c>
    </row>
    <row r="32" spans="2:7" x14ac:dyDescent="0.2">
      <c r="G32" s="18"/>
    </row>
    <row r="33" spans="7:7" x14ac:dyDescent="0.2">
      <c r="G33" s="18"/>
    </row>
    <row r="34" spans="7:7" x14ac:dyDescent="0.2">
      <c r="G34" s="18"/>
    </row>
    <row r="35" spans="7:7" x14ac:dyDescent="0.2">
      <c r="G35" s="18"/>
    </row>
    <row r="36" spans="7:7" x14ac:dyDescent="0.2">
      <c r="G36" s="18"/>
    </row>
    <row r="37" spans="7:7" x14ac:dyDescent="0.2">
      <c r="G37" s="18"/>
    </row>
    <row r="38" spans="7:7" x14ac:dyDescent="0.2">
      <c r="G38" s="18"/>
    </row>
    <row r="39" spans="7:7" x14ac:dyDescent="0.2">
      <c r="G39" s="18"/>
    </row>
    <row r="40" spans="7:7" x14ac:dyDescent="0.2">
      <c r="G40" s="18"/>
    </row>
    <row r="41" spans="7:7" x14ac:dyDescent="0.2">
      <c r="G41" s="18"/>
    </row>
    <row r="42" spans="7:7" x14ac:dyDescent="0.2">
      <c r="G42" s="18"/>
    </row>
    <row r="43" spans="7:7" x14ac:dyDescent="0.2">
      <c r="G43" s="18"/>
    </row>
    <row r="44" spans="7:7" x14ac:dyDescent="0.2">
      <c r="G44" s="18"/>
    </row>
    <row r="45" spans="7:7" x14ac:dyDescent="0.2">
      <c r="G45" s="18"/>
    </row>
    <row r="46" spans="7:7" x14ac:dyDescent="0.2">
      <c r="G46" s="18"/>
    </row>
    <row r="47" spans="7:7" x14ac:dyDescent="0.2">
      <c r="G47" s="18"/>
    </row>
    <row r="48" spans="7:7" x14ac:dyDescent="0.2">
      <c r="G48" s="18"/>
    </row>
    <row r="49" spans="7:7" x14ac:dyDescent="0.2">
      <c r="G49" s="18"/>
    </row>
    <row r="50" spans="7:7" x14ac:dyDescent="0.2">
      <c r="G50" s="18"/>
    </row>
    <row r="51" spans="7:7" x14ac:dyDescent="0.2">
      <c r="G51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1C3B-FF08-B145-A7EF-F77BF61D5CC1}">
  <dimension ref="A2:I46"/>
  <sheetViews>
    <sheetView workbookViewId="0">
      <selection activeCell="I6" sqref="I6"/>
    </sheetView>
  </sheetViews>
  <sheetFormatPr baseColWidth="10" defaultColWidth="10.83203125" defaultRowHeight="16" x14ac:dyDescent="0.2"/>
  <cols>
    <col min="1" max="1" width="15.83203125" customWidth="1"/>
    <col min="2" max="4" width="17.1640625" customWidth="1"/>
  </cols>
  <sheetData>
    <row r="2" spans="1:9" x14ac:dyDescent="0.2">
      <c r="B2" s="24" t="s">
        <v>100</v>
      </c>
      <c r="C2" t="s">
        <v>99</v>
      </c>
      <c r="D2" t="s">
        <v>104</v>
      </c>
    </row>
    <row r="3" spans="1:9" x14ac:dyDescent="0.2">
      <c r="A3" s="17">
        <f>1E-35</f>
        <v>1E-35</v>
      </c>
      <c r="B3" s="26">
        <f>(1-A3)</f>
        <v>1</v>
      </c>
      <c r="C3" s="17">
        <f>SQRT(1-B3*B3)</f>
        <v>0</v>
      </c>
      <c r="D3" s="27"/>
    </row>
    <row r="4" spans="1:9" x14ac:dyDescent="0.2">
      <c r="A4" s="17">
        <f>10*A3</f>
        <v>9.9999999999999993E-35</v>
      </c>
      <c r="B4" s="26">
        <f t="shared" ref="B4:B38" si="0">(1-A4)</f>
        <v>1</v>
      </c>
      <c r="C4" s="17">
        <f t="shared" ref="C4:C38" si="1">SQRT(1-B4*B4)</f>
        <v>0</v>
      </c>
      <c r="D4" s="27"/>
    </row>
    <row r="5" spans="1:9" x14ac:dyDescent="0.2">
      <c r="A5" s="17">
        <f t="shared" ref="A5:A37" si="2">10*A4</f>
        <v>9.9999999999999988E-34</v>
      </c>
      <c r="B5" s="26">
        <f t="shared" si="0"/>
        <v>1</v>
      </c>
      <c r="C5" s="17">
        <f t="shared" si="1"/>
        <v>0</v>
      </c>
      <c r="D5" s="27"/>
      <c r="I5" t="s">
        <v>123</v>
      </c>
    </row>
    <row r="6" spans="1:9" x14ac:dyDescent="0.2">
      <c r="A6" s="17">
        <f t="shared" si="2"/>
        <v>9.9999999999999992E-33</v>
      </c>
      <c r="B6" s="26">
        <f t="shared" si="0"/>
        <v>1</v>
      </c>
      <c r="C6" s="17">
        <f t="shared" si="1"/>
        <v>0</v>
      </c>
      <c r="D6" s="27"/>
    </row>
    <row r="7" spans="1:9" x14ac:dyDescent="0.2">
      <c r="A7" s="17">
        <f t="shared" si="2"/>
        <v>9.9999999999999986E-32</v>
      </c>
      <c r="B7" s="26">
        <f t="shared" si="0"/>
        <v>1</v>
      </c>
      <c r="C7" s="17">
        <f t="shared" si="1"/>
        <v>0</v>
      </c>
      <c r="D7" s="27"/>
    </row>
    <row r="8" spans="1:9" x14ac:dyDescent="0.2">
      <c r="A8" s="17">
        <f t="shared" si="2"/>
        <v>9.9999999999999991E-31</v>
      </c>
      <c r="B8" s="26">
        <f t="shared" si="0"/>
        <v>1</v>
      </c>
      <c r="C8" s="17">
        <f t="shared" si="1"/>
        <v>0</v>
      </c>
      <c r="D8" s="27"/>
    </row>
    <row r="9" spans="1:9" x14ac:dyDescent="0.2">
      <c r="A9" s="17">
        <f t="shared" si="2"/>
        <v>9.9999999999999994E-30</v>
      </c>
      <c r="B9" s="26">
        <f t="shared" si="0"/>
        <v>1</v>
      </c>
      <c r="C9" s="17">
        <f t="shared" si="1"/>
        <v>0</v>
      </c>
      <c r="D9" s="27"/>
    </row>
    <row r="10" spans="1:9" x14ac:dyDescent="0.2">
      <c r="A10" s="17">
        <f t="shared" si="2"/>
        <v>9.9999999999999997E-29</v>
      </c>
      <c r="B10" s="26">
        <f t="shared" si="0"/>
        <v>1</v>
      </c>
      <c r="C10" s="17">
        <f t="shared" si="1"/>
        <v>0</v>
      </c>
      <c r="D10" s="27"/>
    </row>
    <row r="11" spans="1:9" x14ac:dyDescent="0.2">
      <c r="A11" s="17">
        <f t="shared" si="2"/>
        <v>1E-27</v>
      </c>
      <c r="B11" s="26">
        <f t="shared" si="0"/>
        <v>1</v>
      </c>
      <c r="C11" s="17">
        <f t="shared" si="1"/>
        <v>0</v>
      </c>
      <c r="D11" s="27"/>
    </row>
    <row r="12" spans="1:9" x14ac:dyDescent="0.2">
      <c r="A12" s="17">
        <f t="shared" si="2"/>
        <v>1E-26</v>
      </c>
      <c r="B12" s="26">
        <f t="shared" si="0"/>
        <v>1</v>
      </c>
      <c r="C12" s="17">
        <f t="shared" si="1"/>
        <v>0</v>
      </c>
      <c r="D12" s="27"/>
    </row>
    <row r="13" spans="1:9" x14ac:dyDescent="0.2">
      <c r="A13" s="17">
        <f t="shared" si="2"/>
        <v>1E-25</v>
      </c>
      <c r="B13" s="26">
        <f t="shared" si="0"/>
        <v>1</v>
      </c>
      <c r="C13" s="17">
        <f t="shared" si="1"/>
        <v>0</v>
      </c>
      <c r="D13" s="27"/>
    </row>
    <row r="14" spans="1:9" x14ac:dyDescent="0.2">
      <c r="A14" s="17">
        <f t="shared" si="2"/>
        <v>1.0000000000000001E-24</v>
      </c>
      <c r="B14" s="26">
        <f t="shared" si="0"/>
        <v>1</v>
      </c>
      <c r="C14" s="17">
        <f t="shared" si="1"/>
        <v>0</v>
      </c>
      <c r="D14" s="27"/>
    </row>
    <row r="15" spans="1:9" x14ac:dyDescent="0.2">
      <c r="A15" s="17">
        <f t="shared" si="2"/>
        <v>1.0000000000000001E-23</v>
      </c>
      <c r="B15" s="26">
        <f t="shared" si="0"/>
        <v>1</v>
      </c>
      <c r="C15" s="17">
        <f t="shared" si="1"/>
        <v>0</v>
      </c>
      <c r="D15" s="27"/>
    </row>
    <row r="16" spans="1:9" x14ac:dyDescent="0.2">
      <c r="A16" s="17">
        <f t="shared" si="2"/>
        <v>1E-22</v>
      </c>
      <c r="B16" s="26">
        <f t="shared" si="0"/>
        <v>1</v>
      </c>
      <c r="C16" s="17">
        <f t="shared" si="1"/>
        <v>0</v>
      </c>
      <c r="D16" s="27"/>
    </row>
    <row r="17" spans="1:4" x14ac:dyDescent="0.2">
      <c r="A17" s="17">
        <f t="shared" si="2"/>
        <v>1.0000000000000001E-21</v>
      </c>
      <c r="B17" s="26">
        <f t="shared" si="0"/>
        <v>1</v>
      </c>
      <c r="C17" s="17">
        <f t="shared" si="1"/>
        <v>0</v>
      </c>
      <c r="D17" s="27"/>
    </row>
    <row r="18" spans="1:4" x14ac:dyDescent="0.2">
      <c r="A18" s="17">
        <f t="shared" si="2"/>
        <v>1.0000000000000001E-20</v>
      </c>
      <c r="B18" s="26">
        <f t="shared" si="0"/>
        <v>1</v>
      </c>
      <c r="C18" s="17">
        <f t="shared" si="1"/>
        <v>0</v>
      </c>
      <c r="D18" s="27"/>
    </row>
    <row r="19" spans="1:4" x14ac:dyDescent="0.2">
      <c r="A19" s="17">
        <f t="shared" si="2"/>
        <v>1.0000000000000001E-19</v>
      </c>
      <c r="B19" s="26">
        <f t="shared" si="0"/>
        <v>1</v>
      </c>
      <c r="C19" s="17">
        <f t="shared" si="1"/>
        <v>0</v>
      </c>
      <c r="D19" s="27"/>
    </row>
    <row r="20" spans="1:4" x14ac:dyDescent="0.2">
      <c r="A20" s="17">
        <f t="shared" si="2"/>
        <v>1.0000000000000001E-18</v>
      </c>
      <c r="B20" s="26">
        <f t="shared" si="0"/>
        <v>1</v>
      </c>
      <c r="C20" s="17">
        <f t="shared" si="1"/>
        <v>0</v>
      </c>
      <c r="D20" s="27"/>
    </row>
    <row r="21" spans="1:4" x14ac:dyDescent="0.2">
      <c r="A21" s="17">
        <f t="shared" si="2"/>
        <v>1.0000000000000001E-17</v>
      </c>
      <c r="B21" s="26">
        <f t="shared" si="0"/>
        <v>1</v>
      </c>
      <c r="C21" s="17">
        <f t="shared" si="1"/>
        <v>0</v>
      </c>
      <c r="D21" s="27"/>
    </row>
    <row r="22" spans="1:4" x14ac:dyDescent="0.2">
      <c r="A22" s="17">
        <f t="shared" si="2"/>
        <v>1.0000000000000001E-16</v>
      </c>
      <c r="B22" s="26">
        <f t="shared" si="0"/>
        <v>0.99999999999999989</v>
      </c>
      <c r="C22" s="17">
        <f t="shared" si="1"/>
        <v>1.4901161193847656E-8</v>
      </c>
      <c r="D22" s="25">
        <f t="shared" ref="D22:D38" si="3">1/C22</f>
        <v>67108864</v>
      </c>
    </row>
    <row r="23" spans="1:4" x14ac:dyDescent="0.2">
      <c r="A23" s="17">
        <f t="shared" si="2"/>
        <v>1.0000000000000001E-15</v>
      </c>
      <c r="B23" s="26">
        <f t="shared" si="0"/>
        <v>0.999999999999999</v>
      </c>
      <c r="C23" s="17">
        <f t="shared" si="1"/>
        <v>4.4703483581542969E-8</v>
      </c>
      <c r="D23" s="25">
        <f t="shared" si="3"/>
        <v>22369621.333333332</v>
      </c>
    </row>
    <row r="24" spans="1:4" x14ac:dyDescent="0.2">
      <c r="A24" s="17">
        <f t="shared" si="2"/>
        <v>1.0000000000000002E-14</v>
      </c>
      <c r="B24" s="26">
        <f t="shared" si="0"/>
        <v>0.99999999999999001</v>
      </c>
      <c r="C24" s="17">
        <f t="shared" si="1"/>
        <v>1.4136482746161726E-7</v>
      </c>
      <c r="D24" s="25">
        <f t="shared" si="3"/>
        <v>7073895.3808825994</v>
      </c>
    </row>
    <row r="25" spans="1:4" x14ac:dyDescent="0.2">
      <c r="A25" s="17">
        <f t="shared" si="2"/>
        <v>1.0000000000000002E-13</v>
      </c>
      <c r="B25" s="26">
        <f t="shared" si="0"/>
        <v>0.99999999999989997</v>
      </c>
      <c r="C25" s="17">
        <f t="shared" si="1"/>
        <v>4.4728311955343587E-7</v>
      </c>
      <c r="D25" s="25">
        <f t="shared" si="3"/>
        <v>2235720.4112652242</v>
      </c>
    </row>
    <row r="26" spans="1:4" x14ac:dyDescent="0.2">
      <c r="A26" s="17">
        <f t="shared" si="2"/>
        <v>1.0000000000000002E-12</v>
      </c>
      <c r="B26" s="26">
        <f t="shared" si="0"/>
        <v>0.99999999999900002</v>
      </c>
      <c r="C26" s="17">
        <f t="shared" si="1"/>
        <v>1.4141979198682754E-6</v>
      </c>
      <c r="D26" s="25">
        <f t="shared" si="3"/>
        <v>707114.60252546857</v>
      </c>
    </row>
    <row r="27" spans="1:4" x14ac:dyDescent="0.2">
      <c r="A27" s="17">
        <f t="shared" si="2"/>
        <v>1.0000000000000001E-11</v>
      </c>
      <c r="B27" s="26">
        <f t="shared" si="0"/>
        <v>0.99999999999</v>
      </c>
      <c r="C27" s="17">
        <f t="shared" si="1"/>
        <v>4.4721361400126692E-6</v>
      </c>
      <c r="D27" s="25">
        <f t="shared" si="3"/>
        <v>223606.78849932487</v>
      </c>
    </row>
    <row r="28" spans="1:4" x14ac:dyDescent="0.2">
      <c r="A28" s="17">
        <f t="shared" si="2"/>
        <v>1.0000000000000002E-10</v>
      </c>
      <c r="B28" s="26">
        <f t="shared" si="0"/>
        <v>0.99999999989999999</v>
      </c>
      <c r="C28" s="17">
        <f t="shared" si="1"/>
        <v>1.4142136208793713E-5</v>
      </c>
      <c r="D28" s="25">
        <f t="shared" si="3"/>
        <v>70710.675193341056</v>
      </c>
    </row>
    <row r="29" spans="1:4" x14ac:dyDescent="0.2">
      <c r="A29" s="17">
        <f t="shared" si="2"/>
        <v>1.0000000000000003E-9</v>
      </c>
      <c r="B29" s="26">
        <f t="shared" si="0"/>
        <v>0.99999999900000003</v>
      </c>
      <c r="C29" s="17">
        <f t="shared" si="1"/>
        <v>4.4721358917592574E-5</v>
      </c>
      <c r="D29" s="25">
        <f t="shared" si="3"/>
        <v>22360.680091199512</v>
      </c>
    </row>
    <row r="30" spans="1:4" x14ac:dyDescent="0.2">
      <c r="A30" s="17">
        <f t="shared" si="2"/>
        <v>1.0000000000000004E-8</v>
      </c>
      <c r="B30" s="26">
        <f t="shared" si="0"/>
        <v>0.99999998999999995</v>
      </c>
      <c r="C30" s="17">
        <f t="shared" si="1"/>
        <v>1.4142135620009053E-4</v>
      </c>
      <c r="D30" s="25">
        <f t="shared" si="3"/>
        <v>7071.067813726424</v>
      </c>
    </row>
    <row r="31" spans="1:4" x14ac:dyDescent="0.2">
      <c r="A31" s="17">
        <f t="shared" si="2"/>
        <v>1.0000000000000004E-7</v>
      </c>
      <c r="B31" s="26">
        <f t="shared" si="0"/>
        <v>0.99999990000000005</v>
      </c>
      <c r="C31" s="17">
        <f t="shared" si="1"/>
        <v>4.4721358421085739E-4</v>
      </c>
      <c r="D31" s="25">
        <f t="shared" si="3"/>
        <v>2236.0680339452938</v>
      </c>
    </row>
    <row r="32" spans="1:4" x14ac:dyDescent="0.2">
      <c r="A32" s="17">
        <f t="shared" si="2"/>
        <v>1.0000000000000004E-6</v>
      </c>
      <c r="B32" s="26">
        <f t="shared" si="0"/>
        <v>0.99999899999999997</v>
      </c>
      <c r="C32" s="17">
        <f t="shared" si="1"/>
        <v>1.4142132088478148E-3</v>
      </c>
      <c r="D32" s="25">
        <f t="shared" si="3"/>
        <v>707.10695794923186</v>
      </c>
    </row>
    <row r="33" spans="1:4" x14ac:dyDescent="0.2">
      <c r="A33" s="17">
        <f t="shared" si="2"/>
        <v>1.0000000000000004E-5</v>
      </c>
      <c r="B33" s="26">
        <f t="shared" si="0"/>
        <v>0.99999000000000005</v>
      </c>
      <c r="C33" s="17">
        <f t="shared" si="1"/>
        <v>4.4721247746346152E-3</v>
      </c>
      <c r="D33" s="25">
        <f t="shared" si="3"/>
        <v>223.60735676962474</v>
      </c>
    </row>
    <row r="34" spans="1:4" x14ac:dyDescent="0.2">
      <c r="A34" s="17">
        <f t="shared" si="2"/>
        <v>1.0000000000000005E-4</v>
      </c>
      <c r="B34" s="26">
        <f t="shared" si="0"/>
        <v>0.99990000000000001</v>
      </c>
      <c r="C34" s="17">
        <f t="shared" si="1"/>
        <v>1.4141782065918275E-2</v>
      </c>
      <c r="D34" s="25">
        <f t="shared" si="3"/>
        <v>70.712445951914518</v>
      </c>
    </row>
    <row r="35" spans="1:4" x14ac:dyDescent="0.2">
      <c r="A35" s="17">
        <f t="shared" si="2"/>
        <v>1.0000000000000005E-3</v>
      </c>
      <c r="B35" s="26">
        <f t="shared" si="0"/>
        <v>0.999</v>
      </c>
      <c r="C35" s="17">
        <f t="shared" si="1"/>
        <v>4.4710177812216013E-2</v>
      </c>
      <c r="D35" s="25">
        <f t="shared" si="3"/>
        <v>22.366272042129371</v>
      </c>
    </row>
    <row r="36" spans="1:4" x14ac:dyDescent="0.2">
      <c r="A36" s="17">
        <f t="shared" si="2"/>
        <v>1.0000000000000005E-2</v>
      </c>
      <c r="B36" s="26">
        <f t="shared" si="0"/>
        <v>0.99</v>
      </c>
      <c r="C36" s="17">
        <f t="shared" si="1"/>
        <v>0.14106735979665894</v>
      </c>
      <c r="D36" s="25">
        <f t="shared" si="3"/>
        <v>7.0888120500833542</v>
      </c>
    </row>
    <row r="37" spans="1:4" x14ac:dyDescent="0.2">
      <c r="A37" s="17">
        <f t="shared" si="2"/>
        <v>0.10000000000000006</v>
      </c>
      <c r="B37" s="26">
        <f t="shared" si="0"/>
        <v>0.89999999999999991</v>
      </c>
      <c r="C37" s="17">
        <f t="shared" si="1"/>
        <v>0.43588989435406755</v>
      </c>
      <c r="D37" s="25">
        <f t="shared" si="3"/>
        <v>2.2941573387056167</v>
      </c>
    </row>
    <row r="38" spans="1:4" x14ac:dyDescent="0.2">
      <c r="A38" s="17">
        <v>1</v>
      </c>
      <c r="B38" s="26">
        <f t="shared" si="0"/>
        <v>0</v>
      </c>
      <c r="C38" s="17">
        <f t="shared" si="1"/>
        <v>1</v>
      </c>
      <c r="D38" s="25">
        <f t="shared" si="3"/>
        <v>1</v>
      </c>
    </row>
    <row r="39" spans="1:4" x14ac:dyDescent="0.2">
      <c r="A39" s="17"/>
      <c r="B39" s="26"/>
      <c r="C39" s="17"/>
      <c r="D39" s="25"/>
    </row>
    <row r="40" spans="1:4" x14ac:dyDescent="0.2">
      <c r="A40" s="17"/>
      <c r="B40" s="26"/>
      <c r="C40" s="17"/>
      <c r="D40" s="25"/>
    </row>
    <row r="41" spans="1:4" x14ac:dyDescent="0.2">
      <c r="A41" s="17"/>
      <c r="B41" s="26"/>
      <c r="C41" s="17"/>
      <c r="D41" s="25"/>
    </row>
    <row r="42" spans="1:4" x14ac:dyDescent="0.2">
      <c r="A42" s="17"/>
      <c r="B42" s="26"/>
      <c r="C42" s="17"/>
      <c r="D42" s="25"/>
    </row>
    <row r="43" spans="1:4" x14ac:dyDescent="0.2">
      <c r="A43" s="17"/>
      <c r="B43" s="26"/>
      <c r="C43" s="17"/>
      <c r="D43" s="25"/>
    </row>
    <row r="44" spans="1:4" x14ac:dyDescent="0.2">
      <c r="A44" s="17"/>
      <c r="B44" s="26"/>
      <c r="C44" s="17"/>
      <c r="D44" s="25"/>
    </row>
    <row r="45" spans="1:4" x14ac:dyDescent="0.2">
      <c r="A45" s="17"/>
      <c r="B45" s="26"/>
      <c r="C45" s="17"/>
      <c r="D45" s="25"/>
    </row>
    <row r="46" spans="1:4" x14ac:dyDescent="0.2">
      <c r="A46" s="17"/>
      <c r="B46" s="17"/>
      <c r="C46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D507-24BC-EC42-BCD3-812063B76245}">
  <dimension ref="B5:L44"/>
  <sheetViews>
    <sheetView workbookViewId="0">
      <selection activeCell="B6" sqref="B6"/>
    </sheetView>
  </sheetViews>
  <sheetFormatPr baseColWidth="10" defaultRowHeight="16" x14ac:dyDescent="0.2"/>
  <cols>
    <col min="2" max="2" width="58.6640625" bestFit="1" customWidth="1"/>
    <col min="3" max="3" width="12.1640625" bestFit="1" customWidth="1"/>
    <col min="4" max="4" width="20.5" customWidth="1"/>
    <col min="5" max="5" width="12.6640625" bestFit="1" customWidth="1"/>
    <col min="6" max="6" width="15.1640625" bestFit="1" customWidth="1"/>
    <col min="7" max="7" width="12.1640625" bestFit="1" customWidth="1"/>
    <col min="8" max="8" width="12.1640625" customWidth="1"/>
    <col min="9" max="11" width="12.1640625" bestFit="1" customWidth="1"/>
    <col min="12" max="12" width="12" bestFit="1" customWidth="1"/>
    <col min="13" max="13" width="11.5" bestFit="1" customWidth="1"/>
  </cols>
  <sheetData>
    <row r="5" spans="2:4" x14ac:dyDescent="0.2">
      <c r="B5" s="41" t="s">
        <v>159</v>
      </c>
      <c r="C5" t="s">
        <v>156</v>
      </c>
    </row>
    <row r="11" spans="2:4" x14ac:dyDescent="0.2">
      <c r="B11" t="s">
        <v>150</v>
      </c>
      <c r="C11">
        <f>1.98847*10^30</f>
        <v>1.98847E+30</v>
      </c>
      <c r="D11" t="s">
        <v>153</v>
      </c>
    </row>
    <row r="14" spans="2:4" x14ac:dyDescent="0.2">
      <c r="B14" t="s">
        <v>129</v>
      </c>
    </row>
    <row r="16" spans="2:4" x14ac:dyDescent="0.2">
      <c r="B16" t="s">
        <v>130</v>
      </c>
    </row>
    <row r="18" spans="2:12" x14ac:dyDescent="0.2">
      <c r="B18" t="s">
        <v>131</v>
      </c>
      <c r="C18" t="s">
        <v>132</v>
      </c>
      <c r="D18" t="s">
        <v>133</v>
      </c>
    </row>
    <row r="21" spans="2:12" x14ac:dyDescent="0.2">
      <c r="D21" t="s">
        <v>134</v>
      </c>
    </row>
    <row r="22" spans="2:12" x14ac:dyDescent="0.2">
      <c r="D22" t="s">
        <v>135</v>
      </c>
    </row>
    <row r="24" spans="2:12" x14ac:dyDescent="0.2">
      <c r="I24" t="s">
        <v>147</v>
      </c>
    </row>
    <row r="25" spans="2:12" x14ac:dyDescent="0.2">
      <c r="C25" t="s">
        <v>157</v>
      </c>
      <c r="D25" t="s">
        <v>136</v>
      </c>
      <c r="E25" s="38" t="s">
        <v>143</v>
      </c>
      <c r="F25" t="s">
        <v>145</v>
      </c>
      <c r="G25" t="s">
        <v>137</v>
      </c>
      <c r="H25" t="s">
        <v>146</v>
      </c>
      <c r="I25" t="s">
        <v>148</v>
      </c>
      <c r="J25" t="s">
        <v>154</v>
      </c>
      <c r="K25" t="s">
        <v>151</v>
      </c>
      <c r="L25" t="s">
        <v>145</v>
      </c>
    </row>
    <row r="26" spans="2:12" x14ac:dyDescent="0.2">
      <c r="C26" t="s">
        <v>140</v>
      </c>
      <c r="D26" t="s">
        <v>141</v>
      </c>
      <c r="G26" t="s">
        <v>142</v>
      </c>
      <c r="H26" s="39">
        <v>0.74</v>
      </c>
      <c r="I26" t="s">
        <v>158</v>
      </c>
      <c r="J26" t="s">
        <v>145</v>
      </c>
      <c r="L26" t="s">
        <v>155</v>
      </c>
    </row>
    <row r="27" spans="2:12" x14ac:dyDescent="0.2">
      <c r="D27" t="s">
        <v>139</v>
      </c>
      <c r="E27" t="s">
        <v>144</v>
      </c>
      <c r="F27" t="s">
        <v>153</v>
      </c>
      <c r="G27" t="s">
        <v>138</v>
      </c>
      <c r="H27" t="s">
        <v>149</v>
      </c>
    </row>
    <row r="28" spans="2:12" x14ac:dyDescent="0.2">
      <c r="C28">
        <v>1</v>
      </c>
      <c r="D28">
        <f>4*PI()*POWER(C28,2)</f>
        <v>12.566370614359172</v>
      </c>
      <c r="E28">
        <f t="shared" ref="E28:E41" si="0">D28/(PI()*POWER(Lp,2))</f>
        <v>1.5312292459249338E+70</v>
      </c>
      <c r="F28">
        <f t="shared" ref="F28:F41" si="1">E28*Mp</f>
        <v>3.3326199174050566E+62</v>
      </c>
      <c r="G28">
        <f t="shared" ref="G28:G41" si="2">D28*C28/3</f>
        <v>4.1887902047863905</v>
      </c>
      <c r="H28">
        <f t="shared" ref="H28:H41" si="3">($H$26*G28*3)/(4*PI()*POWER(Lp,3))</f>
        <v>1.7526776790507959E+104</v>
      </c>
      <c r="I28">
        <f t="shared" ref="I28:I41" si="4">H28*Mp</f>
        <v>3.8145878924012506E+96</v>
      </c>
      <c r="J28">
        <f>F28/I28</f>
        <v>8.7365136455335439E-35</v>
      </c>
      <c r="L28">
        <f t="shared" ref="L28:L41" si="5">F28/Ms</f>
        <v>1.6759719369188654E+32</v>
      </c>
    </row>
    <row r="29" spans="2:12" x14ac:dyDescent="0.2">
      <c r="C29">
        <f>10*C28</f>
        <v>10</v>
      </c>
      <c r="D29">
        <f>4*PI()*POWER(C29,2)</f>
        <v>1256.6370614359173</v>
      </c>
      <c r="E29">
        <f t="shared" si="0"/>
        <v>1.5312292459249338E+72</v>
      </c>
      <c r="F29">
        <f t="shared" si="1"/>
        <v>3.3326199174050566E+64</v>
      </c>
      <c r="G29">
        <f t="shared" si="2"/>
        <v>4188.7902047863909</v>
      </c>
      <c r="H29">
        <f t="shared" si="3"/>
        <v>1.7526776790507959E+107</v>
      </c>
      <c r="I29">
        <f t="shared" si="4"/>
        <v>3.8145878924012505E+99</v>
      </c>
      <c r="J29">
        <f t="shared" ref="J29:J41" si="6">F29/I29</f>
        <v>8.7365136455335431E-36</v>
      </c>
      <c r="L29">
        <f t="shared" si="5"/>
        <v>1.6759719369188655E+34</v>
      </c>
    </row>
    <row r="30" spans="2:12" x14ac:dyDescent="0.2">
      <c r="C30">
        <f t="shared" ref="C30:C41" si="7">10*C29</f>
        <v>100</v>
      </c>
      <c r="D30">
        <f t="shared" ref="D30:D41" si="8">4*PI()*POWER(C30,2)</f>
        <v>125663.70614359173</v>
      </c>
      <c r="E30">
        <f t="shared" si="0"/>
        <v>1.5312292459249337E+74</v>
      </c>
      <c r="F30">
        <f t="shared" si="1"/>
        <v>3.3326199174050562E+66</v>
      </c>
      <c r="G30">
        <f t="shared" si="2"/>
        <v>4188790.2047863905</v>
      </c>
      <c r="H30">
        <f t="shared" si="3"/>
        <v>1.7526776790507955E+110</v>
      </c>
      <c r="I30">
        <f t="shared" si="4"/>
        <v>3.8145878924012499E+102</v>
      </c>
      <c r="J30">
        <f t="shared" si="6"/>
        <v>8.7365136455335438E-37</v>
      </c>
      <c r="L30">
        <f t="shared" si="5"/>
        <v>1.6759719369188652E+36</v>
      </c>
    </row>
    <row r="31" spans="2:12" x14ac:dyDescent="0.2">
      <c r="C31">
        <f t="shared" si="7"/>
        <v>1000</v>
      </c>
      <c r="D31">
        <f t="shared" si="8"/>
        <v>12566370.614359172</v>
      </c>
      <c r="E31">
        <f t="shared" si="0"/>
        <v>1.5312292459249337E+76</v>
      </c>
      <c r="F31">
        <f t="shared" si="1"/>
        <v>3.3326199174050563E+68</v>
      </c>
      <c r="G31">
        <f t="shared" si="2"/>
        <v>4188790204.7863908</v>
      </c>
      <c r="H31">
        <f t="shared" si="3"/>
        <v>1.7526776790507957E+113</v>
      </c>
      <c r="I31">
        <f t="shared" si="4"/>
        <v>3.8145878924012503E+105</v>
      </c>
      <c r="J31">
        <f t="shared" si="6"/>
        <v>8.7365136455335431E-38</v>
      </c>
      <c r="L31">
        <f t="shared" si="5"/>
        <v>1.6759719369188655E+38</v>
      </c>
    </row>
    <row r="32" spans="2:12" x14ac:dyDescent="0.2">
      <c r="C32">
        <f t="shared" si="7"/>
        <v>10000</v>
      </c>
      <c r="D32">
        <f t="shared" si="8"/>
        <v>1256637061.4359171</v>
      </c>
      <c r="E32">
        <f t="shared" si="0"/>
        <v>1.5312292459249336E+78</v>
      </c>
      <c r="F32">
        <f t="shared" si="1"/>
        <v>3.3326199174050557E+70</v>
      </c>
      <c r="G32">
        <f t="shared" si="2"/>
        <v>4188790204786.3906</v>
      </c>
      <c r="H32">
        <f t="shared" si="3"/>
        <v>1.7526776790507959E+116</v>
      </c>
      <c r="I32">
        <f t="shared" si="4"/>
        <v>3.8145878924012507E+108</v>
      </c>
      <c r="J32">
        <f t="shared" si="6"/>
        <v>8.7365136455335408E-39</v>
      </c>
      <c r="L32">
        <f t="shared" si="5"/>
        <v>1.6759719369188652E+40</v>
      </c>
    </row>
    <row r="33" spans="3:12" x14ac:dyDescent="0.2">
      <c r="C33">
        <f t="shared" si="7"/>
        <v>100000</v>
      </c>
      <c r="D33">
        <f t="shared" si="8"/>
        <v>125663706143.59172</v>
      </c>
      <c r="E33">
        <f t="shared" si="0"/>
        <v>1.5312292459249335E+80</v>
      </c>
      <c r="F33">
        <f t="shared" si="1"/>
        <v>3.3326199174050558E+72</v>
      </c>
      <c r="G33">
        <f t="shared" si="2"/>
        <v>4188790204786390.5</v>
      </c>
      <c r="H33">
        <f t="shared" si="3"/>
        <v>1.7526776790507959E+119</v>
      </c>
      <c r="I33">
        <f t="shared" si="4"/>
        <v>3.8145878924012506E+111</v>
      </c>
      <c r="J33">
        <f t="shared" si="6"/>
        <v>8.7365136455335411E-40</v>
      </c>
      <c r="L33">
        <f t="shared" si="5"/>
        <v>1.675971936918865E+42</v>
      </c>
    </row>
    <row r="34" spans="3:12" x14ac:dyDescent="0.2">
      <c r="C34">
        <f t="shared" si="7"/>
        <v>1000000</v>
      </c>
      <c r="D34">
        <f t="shared" si="8"/>
        <v>12566370614359.172</v>
      </c>
      <c r="E34">
        <f t="shared" si="0"/>
        <v>1.5312292459249337E+82</v>
      </c>
      <c r="F34">
        <f t="shared" si="1"/>
        <v>3.332619917405056E+74</v>
      </c>
      <c r="G34">
        <f t="shared" si="2"/>
        <v>4.1887902047863905E+18</v>
      </c>
      <c r="H34">
        <f t="shared" si="3"/>
        <v>1.752677679050796E+122</v>
      </c>
      <c r="I34">
        <f t="shared" si="4"/>
        <v>3.8145878924012506E+114</v>
      </c>
      <c r="J34">
        <f t="shared" si="6"/>
        <v>8.7365136455335419E-41</v>
      </c>
      <c r="L34">
        <f t="shared" si="5"/>
        <v>1.6759719369188653E+44</v>
      </c>
    </row>
    <row r="35" spans="3:12" x14ac:dyDescent="0.2">
      <c r="C35">
        <f t="shared" si="7"/>
        <v>10000000</v>
      </c>
      <c r="D35">
        <f t="shared" si="8"/>
        <v>1256637061435917.2</v>
      </c>
      <c r="E35">
        <f t="shared" si="0"/>
        <v>1.5312292459249337E+84</v>
      </c>
      <c r="F35">
        <f t="shared" si="1"/>
        <v>3.332619917405056E+76</v>
      </c>
      <c r="G35">
        <f t="shared" si="2"/>
        <v>4.1887902047863911E+21</v>
      </c>
      <c r="H35">
        <f t="shared" si="3"/>
        <v>1.7526776790507959E+125</v>
      </c>
      <c r="I35">
        <f t="shared" si="4"/>
        <v>3.8145878924012504E+117</v>
      </c>
      <c r="J35">
        <f t="shared" si="6"/>
        <v>8.7365136455335424E-42</v>
      </c>
      <c r="L35">
        <f t="shared" si="5"/>
        <v>1.6759719369188653E+46</v>
      </c>
    </row>
    <row r="36" spans="3:12" x14ac:dyDescent="0.2">
      <c r="C36">
        <f t="shared" si="7"/>
        <v>100000000</v>
      </c>
      <c r="D36">
        <f t="shared" si="8"/>
        <v>1.2566370614359173E+17</v>
      </c>
      <c r="E36">
        <f t="shared" si="0"/>
        <v>1.5312292459249337E+86</v>
      </c>
      <c r="F36">
        <f t="shared" si="1"/>
        <v>3.3326199174050563E+78</v>
      </c>
      <c r="G36">
        <f t="shared" si="2"/>
        <v>4.1887902047863914E+24</v>
      </c>
      <c r="H36">
        <f t="shared" si="3"/>
        <v>1.7526776790507959E+128</v>
      </c>
      <c r="I36">
        <f t="shared" si="4"/>
        <v>3.8145878924012504E+120</v>
      </c>
      <c r="J36">
        <f t="shared" si="6"/>
        <v>8.7365136455335431E-43</v>
      </c>
      <c r="L36">
        <f t="shared" si="5"/>
        <v>1.6759719369188653E+48</v>
      </c>
    </row>
    <row r="37" spans="3:12" x14ac:dyDescent="0.2">
      <c r="C37">
        <f t="shared" si="7"/>
        <v>1000000000</v>
      </c>
      <c r="D37">
        <f t="shared" si="8"/>
        <v>1.2566370614359173E+19</v>
      </c>
      <c r="E37">
        <f t="shared" si="0"/>
        <v>1.5312292459249338E+88</v>
      </c>
      <c r="F37">
        <f t="shared" si="1"/>
        <v>3.3326199174050566E+80</v>
      </c>
      <c r="G37">
        <f t="shared" si="2"/>
        <v>4.1887902047863913E+27</v>
      </c>
      <c r="H37">
        <f t="shared" si="3"/>
        <v>1.7526776790507962E+131</v>
      </c>
      <c r="I37">
        <f t="shared" si="4"/>
        <v>3.8145878924012511E+123</v>
      </c>
      <c r="J37">
        <f t="shared" si="6"/>
        <v>8.7365136455335419E-44</v>
      </c>
      <c r="L37">
        <f t="shared" si="5"/>
        <v>1.6759719369188656E+50</v>
      </c>
    </row>
    <row r="38" spans="3:12" x14ac:dyDescent="0.2">
      <c r="C38">
        <f t="shared" si="7"/>
        <v>10000000000</v>
      </c>
      <c r="D38">
        <f t="shared" si="8"/>
        <v>1.2566370614359173E+21</v>
      </c>
      <c r="E38">
        <f t="shared" si="0"/>
        <v>1.5312292459249337E+90</v>
      </c>
      <c r="F38">
        <f t="shared" si="1"/>
        <v>3.332619917405056E+82</v>
      </c>
      <c r="G38">
        <f t="shared" si="2"/>
        <v>4.1887902047863908E+30</v>
      </c>
      <c r="H38">
        <f t="shared" si="3"/>
        <v>1.7526776790507959E+134</v>
      </c>
      <c r="I38">
        <f t="shared" si="4"/>
        <v>3.8145878924012508E+126</v>
      </c>
      <c r="J38">
        <f t="shared" si="6"/>
        <v>8.7365136455335411E-45</v>
      </c>
      <c r="L38">
        <f t="shared" si="5"/>
        <v>1.6759719369188654E+52</v>
      </c>
    </row>
    <row r="39" spans="3:12" x14ac:dyDescent="0.2">
      <c r="C39">
        <f t="shared" si="7"/>
        <v>100000000000</v>
      </c>
      <c r="D39">
        <f t="shared" si="8"/>
        <v>1.2566370614359172E+23</v>
      </c>
      <c r="E39">
        <f t="shared" si="0"/>
        <v>1.5312292459249336E+92</v>
      </c>
      <c r="F39">
        <f t="shared" si="1"/>
        <v>3.332619917405056E+84</v>
      </c>
      <c r="G39">
        <f t="shared" si="2"/>
        <v>4.1887902047863905E+33</v>
      </c>
      <c r="H39">
        <f t="shared" si="3"/>
        <v>1.7526776790507955E+137</v>
      </c>
      <c r="I39">
        <f t="shared" si="4"/>
        <v>3.8145878924012497E+129</v>
      </c>
      <c r="J39">
        <f t="shared" si="6"/>
        <v>8.7365136455335442E-46</v>
      </c>
      <c r="L39">
        <f t="shared" si="5"/>
        <v>1.6759719369188652E+54</v>
      </c>
    </row>
    <row r="40" spans="3:12" x14ac:dyDescent="0.2">
      <c r="C40">
        <f t="shared" si="7"/>
        <v>1000000000000</v>
      </c>
      <c r="D40">
        <f t="shared" si="8"/>
        <v>1.2566370614359171E+25</v>
      </c>
      <c r="E40">
        <f t="shared" si="0"/>
        <v>1.5312292459249336E+94</v>
      </c>
      <c r="F40">
        <f t="shared" si="1"/>
        <v>3.3326199174050558E+86</v>
      </c>
      <c r="G40">
        <f t="shared" si="2"/>
        <v>4.1887902047863904E+36</v>
      </c>
      <c r="H40">
        <f t="shared" si="3"/>
        <v>1.7526776790507956E+140</v>
      </c>
      <c r="I40">
        <f t="shared" si="4"/>
        <v>3.8145878924012497E+132</v>
      </c>
      <c r="J40">
        <f t="shared" si="6"/>
        <v>8.7365136455335431E-47</v>
      </c>
      <c r="L40">
        <f t="shared" si="5"/>
        <v>1.6759719369188653E+56</v>
      </c>
    </row>
    <row r="41" spans="3:12" x14ac:dyDescent="0.2">
      <c r="C41">
        <f t="shared" si="7"/>
        <v>10000000000000</v>
      </c>
      <c r="D41">
        <f t="shared" si="8"/>
        <v>1.2566370614359173E+27</v>
      </c>
      <c r="E41">
        <f t="shared" si="0"/>
        <v>1.5312292459249338E+96</v>
      </c>
      <c r="F41">
        <f t="shared" si="1"/>
        <v>3.3326199174050565E+88</v>
      </c>
      <c r="G41">
        <f t="shared" si="2"/>
        <v>4.1887902047863914E+39</v>
      </c>
      <c r="H41">
        <f t="shared" si="3"/>
        <v>1.7526776790507962E+143</v>
      </c>
      <c r="I41">
        <f t="shared" si="4"/>
        <v>3.8145878924012514E+135</v>
      </c>
      <c r="J41">
        <f t="shared" si="6"/>
        <v>8.7365136455335414E-48</v>
      </c>
      <c r="L41">
        <f t="shared" si="5"/>
        <v>1.6759719369188654E+58</v>
      </c>
    </row>
    <row r="44" spans="3:12" x14ac:dyDescent="0.2">
      <c r="C44" s="40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FF92-7AA8-374C-9B2A-A17E6CDD2010}">
  <dimension ref="A1:D29"/>
  <sheetViews>
    <sheetView topLeftCell="A2" zoomScale="300" zoomScaleNormal="300" workbookViewId="0">
      <selection activeCell="C30" sqref="C30"/>
    </sheetView>
  </sheetViews>
  <sheetFormatPr baseColWidth="10" defaultRowHeight="16" x14ac:dyDescent="0.2"/>
  <cols>
    <col min="1" max="1" width="19.1640625" bestFit="1" customWidth="1"/>
    <col min="2" max="2" width="14" bestFit="1" customWidth="1"/>
  </cols>
  <sheetData>
    <row r="1" spans="1:4" x14ac:dyDescent="0.2">
      <c r="A1" t="s">
        <v>161</v>
      </c>
      <c r="B1" t="s">
        <v>75</v>
      </c>
      <c r="C1" t="s">
        <v>76</v>
      </c>
    </row>
    <row r="3" spans="1:4" x14ac:dyDescent="0.2">
      <c r="A3" t="s">
        <v>160</v>
      </c>
      <c r="B3" t="s">
        <v>140</v>
      </c>
      <c r="C3" s="17">
        <v>3.4000000000000001E-10</v>
      </c>
    </row>
    <row r="5" spans="1:4" x14ac:dyDescent="0.2">
      <c r="A5" t="s">
        <v>162</v>
      </c>
      <c r="B5" t="s">
        <v>163</v>
      </c>
      <c r="C5">
        <v>15</v>
      </c>
      <c r="D5">
        <f>6*C5</f>
        <v>90</v>
      </c>
    </row>
    <row r="6" spans="1:4" x14ac:dyDescent="0.2">
      <c r="A6" t="s">
        <v>164</v>
      </c>
      <c r="B6" t="s">
        <v>165</v>
      </c>
      <c r="C6">
        <v>21</v>
      </c>
      <c r="D6">
        <f t="shared" ref="D6:D10" si="0">6*C6</f>
        <v>126</v>
      </c>
    </row>
    <row r="7" spans="1:4" x14ac:dyDescent="0.2">
      <c r="A7" t="s">
        <v>166</v>
      </c>
      <c r="B7" t="s">
        <v>163</v>
      </c>
      <c r="C7">
        <v>18</v>
      </c>
      <c r="D7">
        <f t="shared" si="0"/>
        <v>108</v>
      </c>
    </row>
    <row r="8" spans="1:4" x14ac:dyDescent="0.2">
      <c r="A8" t="s">
        <v>167</v>
      </c>
      <c r="B8" t="s">
        <v>165</v>
      </c>
      <c r="C8">
        <v>18</v>
      </c>
      <c r="D8">
        <f t="shared" si="0"/>
        <v>108</v>
      </c>
    </row>
    <row r="9" spans="1:4" x14ac:dyDescent="0.2">
      <c r="A9" t="s">
        <v>168</v>
      </c>
      <c r="B9" t="s">
        <v>163</v>
      </c>
      <c r="C9">
        <v>9</v>
      </c>
      <c r="D9">
        <f t="shared" si="0"/>
        <v>54</v>
      </c>
    </row>
    <row r="10" spans="1:4" x14ac:dyDescent="0.2">
      <c r="A10" t="s">
        <v>169</v>
      </c>
      <c r="B10" t="s">
        <v>165</v>
      </c>
      <c r="C10">
        <v>3</v>
      </c>
      <c r="D10">
        <f t="shared" si="0"/>
        <v>18</v>
      </c>
    </row>
    <row r="11" spans="1:4" x14ac:dyDescent="0.2">
      <c r="A11" t="s">
        <v>170</v>
      </c>
      <c r="D11">
        <f>SUM(D5:D10)</f>
        <v>504</v>
      </c>
    </row>
    <row r="14" spans="1:4" x14ac:dyDescent="0.2">
      <c r="A14" t="s">
        <v>172</v>
      </c>
      <c r="B14" t="s">
        <v>175</v>
      </c>
      <c r="C14" s="17">
        <v>1.42E-10</v>
      </c>
    </row>
    <row r="15" spans="1:4" x14ac:dyDescent="0.2">
      <c r="A15" t="s">
        <v>171</v>
      </c>
      <c r="B15" t="s">
        <v>174</v>
      </c>
      <c r="C15" s="17">
        <f>3*SQRT(3)*0.5*POWER(C14,2)</f>
        <v>5.2387608725728265E-20</v>
      </c>
    </row>
    <row r="18" spans="1:4" x14ac:dyDescent="0.2">
      <c r="A18" t="s">
        <v>176</v>
      </c>
      <c r="D18">
        <f>2*D11</f>
        <v>1008</v>
      </c>
    </row>
    <row r="20" spans="1:4" x14ac:dyDescent="0.2">
      <c r="A20" t="s">
        <v>179</v>
      </c>
      <c r="B20" t="s">
        <v>177</v>
      </c>
      <c r="C20" s="17">
        <f>C15*C3</f>
        <v>1.7811786966747611E-29</v>
      </c>
    </row>
    <row r="22" spans="1:4" x14ac:dyDescent="0.2">
      <c r="A22" t="s">
        <v>178</v>
      </c>
      <c r="B22" t="s">
        <v>173</v>
      </c>
      <c r="C22" s="17">
        <v>1.6162550000000001E-35</v>
      </c>
    </row>
    <row r="24" spans="1:4" x14ac:dyDescent="0.2">
      <c r="A24" t="s">
        <v>180</v>
      </c>
      <c r="C24" s="42">
        <f>C22/(2*PI())</f>
        <v>2.5723497254699131E-36</v>
      </c>
    </row>
    <row r="25" spans="1:4" x14ac:dyDescent="0.2">
      <c r="A25" t="s">
        <v>181</v>
      </c>
      <c r="C25" s="17">
        <f>(4*PI()*POWER(C24,3))/3</f>
        <v>7.129821357770203E-107</v>
      </c>
    </row>
    <row r="27" spans="1:4" x14ac:dyDescent="0.2">
      <c r="A27" t="s">
        <v>182</v>
      </c>
      <c r="C27" s="17">
        <f>D18*C25</f>
        <v>7.1868599286323643E-104</v>
      </c>
    </row>
    <row r="29" spans="1:4" x14ac:dyDescent="0.2">
      <c r="C29" s="17">
        <f>C27/C20</f>
        <v>4.0348898973748883E-75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A0DB-AF47-534D-AB98-DF8197831E8C}">
  <dimension ref="B2:G10"/>
  <sheetViews>
    <sheetView topLeftCell="B2" zoomScale="347" zoomScaleNormal="347" workbookViewId="0">
      <selection activeCell="B11" sqref="B11"/>
    </sheetView>
  </sheetViews>
  <sheetFormatPr baseColWidth="10" defaultRowHeight="16" x14ac:dyDescent="0.2"/>
  <sheetData>
    <row r="2" spans="2:7" x14ac:dyDescent="0.2">
      <c r="B2" t="s">
        <v>185</v>
      </c>
    </row>
    <row r="4" spans="2:7" x14ac:dyDescent="0.2">
      <c r="B4" t="s">
        <v>186</v>
      </c>
    </row>
    <row r="6" spans="2:7" x14ac:dyDescent="0.2">
      <c r="D6" t="s">
        <v>190</v>
      </c>
      <c r="E6" t="s">
        <v>191</v>
      </c>
      <c r="F6" t="s">
        <v>192</v>
      </c>
      <c r="G6" t="s">
        <v>193</v>
      </c>
    </row>
    <row r="7" spans="2:7" x14ac:dyDescent="0.2">
      <c r="B7" t="s">
        <v>187</v>
      </c>
      <c r="D7">
        <f>1/2</f>
        <v>0.5</v>
      </c>
      <c r="E7">
        <f>SQRT(D7)</f>
        <v>0.70710678118654757</v>
      </c>
      <c r="F7">
        <f>ASIN(E7)</f>
        <v>0.78539816339744839</v>
      </c>
      <c r="G7" s="43">
        <f>DEGREES(F7)</f>
        <v>45.000000000000007</v>
      </c>
    </row>
    <row r="8" spans="2:7" x14ac:dyDescent="0.2">
      <c r="B8" t="s">
        <v>188</v>
      </c>
      <c r="D8">
        <f>1/3</f>
        <v>0.33333333333333331</v>
      </c>
      <c r="E8">
        <f t="shared" ref="E8:E9" si="0">SQRT(D8)</f>
        <v>0.57735026918962573</v>
      </c>
      <c r="F8">
        <f t="shared" ref="F8:F9" si="1">ASIN(E8)</f>
        <v>0.61547970867038726</v>
      </c>
      <c r="G8" s="43">
        <f t="shared" ref="G8:G9" si="2">DEGREES(F8)</f>
        <v>35.264389682754654</v>
      </c>
    </row>
    <row r="9" spans="2:7" x14ac:dyDescent="0.2">
      <c r="B9" t="s">
        <v>189</v>
      </c>
      <c r="D9">
        <f>1/6</f>
        <v>0.16666666666666666</v>
      </c>
      <c r="E9">
        <f t="shared" si="0"/>
        <v>0.40824829046386302</v>
      </c>
      <c r="F9">
        <f t="shared" si="1"/>
        <v>0.42053433528396511</v>
      </c>
      <c r="G9" s="43">
        <f t="shared" si="2"/>
        <v>24.094842552110702</v>
      </c>
    </row>
    <row r="10" spans="2:7" x14ac:dyDescent="0.2">
      <c r="B10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7050-E35F-5F45-8F64-CC648011D3C9}">
  <sheetPr>
    <tabColor rgb="FF00B050"/>
  </sheetPr>
  <dimension ref="B1:L32"/>
  <sheetViews>
    <sheetView showGridLines="0" topLeftCell="A10" zoomScale="180" zoomScaleNormal="180" workbookViewId="0">
      <selection activeCell="N32" sqref="N32"/>
    </sheetView>
  </sheetViews>
  <sheetFormatPr baseColWidth="10" defaultRowHeight="16" x14ac:dyDescent="0.2"/>
  <cols>
    <col min="1" max="2" width="10.83203125" style="21"/>
    <col min="3" max="10" width="15.6640625" style="21" customWidth="1"/>
    <col min="11" max="16384" width="10.83203125" style="21"/>
  </cols>
  <sheetData>
    <row r="1" spans="2:12" ht="17" thickBot="1" x14ac:dyDescent="0.25">
      <c r="I1" s="56"/>
    </row>
    <row r="2" spans="2:12" ht="17" thickBot="1" x14ac:dyDescent="0.25">
      <c r="C2" s="57" t="s">
        <v>204</v>
      </c>
      <c r="I2" s="56"/>
    </row>
    <row r="3" spans="2:12" ht="17" thickBot="1" x14ac:dyDescent="0.25">
      <c r="B3" s="56"/>
      <c r="I3" s="56"/>
    </row>
    <row r="4" spans="2:12" ht="17" thickTop="1" x14ac:dyDescent="0.2">
      <c r="B4" s="205" t="s">
        <v>184</v>
      </c>
      <c r="C4" s="98" t="s">
        <v>219</v>
      </c>
      <c r="D4" s="59" t="s">
        <v>184</v>
      </c>
      <c r="E4" s="59" t="s">
        <v>195</v>
      </c>
      <c r="F4" s="59" t="s">
        <v>196</v>
      </c>
      <c r="G4" s="59" t="s">
        <v>215</v>
      </c>
      <c r="H4" s="59" t="s">
        <v>216</v>
      </c>
      <c r="I4" s="100" t="s">
        <v>197</v>
      </c>
      <c r="J4" s="60"/>
    </row>
    <row r="5" spans="2:12" ht="17" thickBot="1" x14ac:dyDescent="0.25">
      <c r="B5" s="206"/>
      <c r="C5" s="99" t="s">
        <v>318</v>
      </c>
      <c r="D5" s="62">
        <v>0.51100000000000001</v>
      </c>
      <c r="E5" s="62">
        <v>105.66</v>
      </c>
      <c r="F5" s="62">
        <v>1776.8</v>
      </c>
      <c r="G5" s="62">
        <f>SUM(D5:F5)</f>
        <v>1882.971</v>
      </c>
      <c r="H5" s="62">
        <f>D5</f>
        <v>0.51100000000000001</v>
      </c>
      <c r="I5" s="101">
        <f>G5/H5</f>
        <v>3684.8747553816047</v>
      </c>
      <c r="J5" s="64"/>
      <c r="L5" s="65"/>
    </row>
    <row r="6" spans="2:12" ht="17" thickTop="1" x14ac:dyDescent="0.2">
      <c r="B6" s="56"/>
      <c r="C6" s="60"/>
      <c r="D6" s="64"/>
      <c r="E6" s="64"/>
      <c r="F6" s="64"/>
      <c r="G6" s="64"/>
      <c r="H6" s="64"/>
      <c r="I6" s="66"/>
      <c r="J6" s="64"/>
      <c r="L6" s="65"/>
    </row>
    <row r="7" spans="2:12" ht="17" thickBot="1" x14ac:dyDescent="0.25">
      <c r="B7" s="56"/>
      <c r="C7" s="60"/>
      <c r="D7" s="64"/>
      <c r="E7" s="64"/>
      <c r="F7" s="64"/>
      <c r="G7" s="64"/>
      <c r="H7" s="64"/>
      <c r="I7" s="66"/>
      <c r="J7" s="64"/>
      <c r="L7" s="65"/>
    </row>
    <row r="8" spans="2:12" ht="17" thickTop="1" x14ac:dyDescent="0.2">
      <c r="B8" s="205" t="s">
        <v>201</v>
      </c>
      <c r="C8" s="58" t="s">
        <v>219</v>
      </c>
      <c r="D8" s="67" t="s">
        <v>201</v>
      </c>
      <c r="E8" s="67" t="s">
        <v>202</v>
      </c>
      <c r="F8" s="67" t="s">
        <v>203</v>
      </c>
      <c r="G8" s="59" t="s">
        <v>215</v>
      </c>
      <c r="H8" s="59" t="s">
        <v>216</v>
      </c>
      <c r="I8" s="68" t="s">
        <v>197</v>
      </c>
      <c r="J8" s="64"/>
      <c r="L8" s="65"/>
    </row>
    <row r="9" spans="2:12" ht="17" thickBot="1" x14ac:dyDescent="0.25">
      <c r="B9" s="206" t="s">
        <v>201</v>
      </c>
      <c r="C9" s="61" t="s">
        <v>218</v>
      </c>
      <c r="D9" s="62">
        <v>4.7</v>
      </c>
      <c r="E9" s="62">
        <v>96</v>
      </c>
      <c r="F9" s="62">
        <v>4180</v>
      </c>
      <c r="G9" s="62">
        <f>SUM(D9:F9)</f>
        <v>4280.7</v>
      </c>
      <c r="H9" s="62">
        <f>D9</f>
        <v>4.7</v>
      </c>
      <c r="I9" s="63">
        <f>G9/H9</f>
        <v>910.78723404255311</v>
      </c>
      <c r="J9" s="64"/>
      <c r="L9" s="65"/>
    </row>
    <row r="10" spans="2:12" ht="17" thickTop="1" x14ac:dyDescent="0.2">
      <c r="B10" s="56"/>
      <c r="C10" s="60"/>
      <c r="D10" s="64"/>
      <c r="E10" s="64"/>
      <c r="F10" s="64"/>
      <c r="G10" s="64"/>
      <c r="H10" s="64"/>
      <c r="I10" s="66"/>
      <c r="J10" s="64"/>
      <c r="L10" s="65"/>
    </row>
    <row r="11" spans="2:12" ht="17" thickBot="1" x14ac:dyDescent="0.25">
      <c r="B11" s="56"/>
      <c r="C11" s="60"/>
      <c r="D11" s="64"/>
      <c r="E11" s="64"/>
      <c r="F11" s="64"/>
      <c r="G11" s="64"/>
      <c r="H11" s="64"/>
      <c r="I11" s="66"/>
      <c r="J11" s="64"/>
      <c r="L11" s="65"/>
    </row>
    <row r="12" spans="2:12" ht="17" thickTop="1" x14ac:dyDescent="0.2">
      <c r="B12" s="205" t="s">
        <v>198</v>
      </c>
      <c r="C12" s="69" t="s">
        <v>219</v>
      </c>
      <c r="D12" s="70" t="s">
        <v>198</v>
      </c>
      <c r="E12" s="70" t="s">
        <v>199</v>
      </c>
      <c r="F12" s="70" t="s">
        <v>200</v>
      </c>
      <c r="G12" s="71" t="s">
        <v>215</v>
      </c>
      <c r="H12" s="71" t="s">
        <v>216</v>
      </c>
      <c r="I12" s="72" t="s">
        <v>197</v>
      </c>
      <c r="J12" s="64"/>
      <c r="L12" s="65"/>
    </row>
    <row r="13" spans="2:12" ht="17" thickBot="1" x14ac:dyDescent="0.25">
      <c r="B13" s="206" t="s">
        <v>198</v>
      </c>
      <c r="C13" s="73" t="s">
        <v>217</v>
      </c>
      <c r="D13" s="74">
        <v>2.2000000000000002</v>
      </c>
      <c r="E13" s="74">
        <v>1280</v>
      </c>
      <c r="F13" s="74">
        <v>173100</v>
      </c>
      <c r="G13" s="74">
        <f>SUM(D13:F13)</f>
        <v>174382.2</v>
      </c>
      <c r="H13" s="74">
        <f>D13</f>
        <v>2.2000000000000002</v>
      </c>
      <c r="I13" s="75">
        <f>G13/H13</f>
        <v>79264.636363636368</v>
      </c>
      <c r="J13" s="64"/>
      <c r="L13" s="65"/>
    </row>
    <row r="14" spans="2:12" ht="17" thickTop="1" x14ac:dyDescent="0.2">
      <c r="B14" s="56"/>
      <c r="C14" s="60"/>
      <c r="D14" s="64"/>
      <c r="E14" s="64"/>
      <c r="F14" s="64"/>
      <c r="G14" s="64"/>
      <c r="H14" s="64"/>
      <c r="I14" s="66"/>
      <c r="J14" s="64"/>
      <c r="L14" s="65"/>
    </row>
    <row r="15" spans="2:12" ht="17" thickBot="1" x14ac:dyDescent="0.25">
      <c r="B15" s="56"/>
      <c r="C15" s="60"/>
      <c r="D15" s="64"/>
      <c r="E15" s="64"/>
      <c r="F15" s="64"/>
      <c r="G15" s="64"/>
      <c r="H15" s="64"/>
      <c r="I15" s="66"/>
      <c r="J15" s="64"/>
      <c r="L15" s="65"/>
    </row>
    <row r="16" spans="2:12" ht="17" thickTop="1" x14ac:dyDescent="0.2">
      <c r="B16" s="205" t="s">
        <v>319</v>
      </c>
      <c r="C16" s="69" t="s">
        <v>219</v>
      </c>
      <c r="D16" s="70" t="s">
        <v>205</v>
      </c>
      <c r="E16" s="70" t="s">
        <v>206</v>
      </c>
      <c r="F16" s="70" t="s">
        <v>207</v>
      </c>
      <c r="G16" s="71" t="s">
        <v>215</v>
      </c>
      <c r="H16" s="71" t="s">
        <v>216</v>
      </c>
      <c r="I16" s="100" t="s">
        <v>197</v>
      </c>
      <c r="J16" s="76" t="s">
        <v>208</v>
      </c>
      <c r="L16" s="65"/>
    </row>
    <row r="17" spans="2:12" ht="17" thickBot="1" x14ac:dyDescent="0.25">
      <c r="B17" s="206" t="s">
        <v>319</v>
      </c>
      <c r="C17" s="73" t="s">
        <v>220</v>
      </c>
      <c r="D17" s="74">
        <f>D13+D9+D13</f>
        <v>9.1000000000000014</v>
      </c>
      <c r="E17" s="74">
        <f>E13+E9+E13</f>
        <v>2656</v>
      </c>
      <c r="F17" s="74">
        <f>F13+F9+F13</f>
        <v>350380</v>
      </c>
      <c r="G17" s="74">
        <f>SUM(D17:F17)</f>
        <v>353045.1</v>
      </c>
      <c r="H17" s="74">
        <v>938.27208815999995</v>
      </c>
      <c r="I17" s="101">
        <f>G17/H17</f>
        <v>376.27155753118444</v>
      </c>
      <c r="J17" s="77">
        <f>G17/D17</f>
        <v>38796.164835164825</v>
      </c>
      <c r="L17" s="65"/>
    </row>
    <row r="18" spans="2:12" ht="17" thickTop="1" x14ac:dyDescent="0.2">
      <c r="B18" s="56"/>
      <c r="C18" s="60"/>
      <c r="D18" s="64"/>
      <c r="E18" s="64"/>
      <c r="F18" s="64"/>
      <c r="G18" s="64"/>
      <c r="H18" s="64"/>
      <c r="I18" s="66"/>
      <c r="J18" s="64"/>
      <c r="L18" s="65"/>
    </row>
    <row r="19" spans="2:12" ht="17" thickBot="1" x14ac:dyDescent="0.25">
      <c r="B19" s="56"/>
      <c r="C19" s="60"/>
      <c r="D19" s="64"/>
      <c r="E19" s="64"/>
      <c r="F19" s="64"/>
      <c r="G19" s="64"/>
      <c r="H19" s="64"/>
      <c r="I19" s="66"/>
      <c r="J19" s="64"/>
      <c r="L19" s="65"/>
    </row>
    <row r="20" spans="2:12" ht="17" thickTop="1" x14ac:dyDescent="0.2">
      <c r="B20" s="205" t="s">
        <v>320</v>
      </c>
      <c r="C20" s="78" t="s">
        <v>219</v>
      </c>
      <c r="D20" s="79" t="s">
        <v>209</v>
      </c>
      <c r="E20" s="79" t="s">
        <v>210</v>
      </c>
      <c r="F20" s="79" t="s">
        <v>211</v>
      </c>
      <c r="G20" s="80" t="s">
        <v>215</v>
      </c>
      <c r="H20" s="80" t="s">
        <v>216</v>
      </c>
      <c r="I20" s="100" t="s">
        <v>197</v>
      </c>
      <c r="J20" s="82" t="s">
        <v>208</v>
      </c>
      <c r="L20" s="65"/>
    </row>
    <row r="21" spans="2:12" ht="17" thickBot="1" x14ac:dyDescent="0.25">
      <c r="B21" s="206" t="s">
        <v>320</v>
      </c>
      <c r="C21" s="83" t="s">
        <v>221</v>
      </c>
      <c r="D21" s="84">
        <f>D9+D13+D9</f>
        <v>11.600000000000001</v>
      </c>
      <c r="E21" s="84">
        <f>E9+E13+E9</f>
        <v>1472</v>
      </c>
      <c r="F21" s="84">
        <f>F9+F13+F9</f>
        <v>181460</v>
      </c>
      <c r="G21" s="84">
        <f>G9+G13+G9</f>
        <v>182943.60000000003</v>
      </c>
      <c r="H21" s="84">
        <v>939.56542051999998</v>
      </c>
      <c r="I21" s="101">
        <f>G21/H21</f>
        <v>194.71086951960237</v>
      </c>
      <c r="J21" s="86">
        <f>G21/D21</f>
        <v>15771.000000000002</v>
      </c>
      <c r="L21" s="65"/>
    </row>
    <row r="22" spans="2:12" ht="17" thickTop="1" x14ac:dyDescent="0.2">
      <c r="B22" s="56"/>
      <c r="C22" s="60"/>
      <c r="D22" s="64"/>
      <c r="E22" s="64"/>
      <c r="F22" s="64"/>
      <c r="G22" s="64"/>
      <c r="H22" s="64"/>
      <c r="I22" s="66"/>
      <c r="J22" s="64"/>
      <c r="L22" s="65"/>
    </row>
    <row r="23" spans="2:12" ht="17" thickBot="1" x14ac:dyDescent="0.25">
      <c r="B23" s="56"/>
      <c r="C23" s="60"/>
      <c r="D23" s="64"/>
      <c r="E23" s="64"/>
      <c r="F23" s="64"/>
      <c r="G23" s="64"/>
      <c r="H23" s="64"/>
      <c r="I23" s="66"/>
      <c r="J23" s="64"/>
      <c r="L23" s="65"/>
    </row>
    <row r="24" spans="2:12" ht="17" thickTop="1" x14ac:dyDescent="0.2">
      <c r="B24" s="205" t="s">
        <v>321</v>
      </c>
      <c r="C24" s="78" t="s">
        <v>219</v>
      </c>
      <c r="D24" s="79" t="s">
        <v>212</v>
      </c>
      <c r="E24" s="79" t="s">
        <v>213</v>
      </c>
      <c r="F24" s="79" t="s">
        <v>214</v>
      </c>
      <c r="G24" s="80" t="s">
        <v>215</v>
      </c>
      <c r="H24" s="80" t="s">
        <v>216</v>
      </c>
      <c r="I24" s="81" t="s">
        <v>197</v>
      </c>
      <c r="J24" s="82" t="s">
        <v>208</v>
      </c>
      <c r="L24" s="65"/>
    </row>
    <row r="25" spans="2:12" ht="17" thickBot="1" x14ac:dyDescent="0.25">
      <c r="B25" s="206"/>
      <c r="C25" s="83" t="s">
        <v>222</v>
      </c>
      <c r="D25" s="84">
        <f>D17+D21+D5</f>
        <v>21.211000000000002</v>
      </c>
      <c r="E25" s="84">
        <f>E17+E21+E5</f>
        <v>4233.66</v>
      </c>
      <c r="F25" s="84">
        <f>F17+F21+F5</f>
        <v>533616.80000000005</v>
      </c>
      <c r="G25" s="84">
        <f>G17+G21+G5</f>
        <v>537871.67099999997</v>
      </c>
      <c r="H25" s="84">
        <f>H21+H17+H5</f>
        <v>1878.3485086799999</v>
      </c>
      <c r="I25" s="85">
        <f>G25/H25</f>
        <v>286.35350070258613</v>
      </c>
      <c r="J25" s="86">
        <f>G25/D25</f>
        <v>25358.147706378761</v>
      </c>
      <c r="L25" s="65"/>
    </row>
    <row r="26" spans="2:12" ht="17" thickTop="1" x14ac:dyDescent="0.2">
      <c r="B26" s="56"/>
      <c r="C26" s="60"/>
      <c r="I26" s="87"/>
    </row>
    <row r="27" spans="2:12" ht="17" thickBot="1" x14ac:dyDescent="0.25">
      <c r="B27" s="56"/>
      <c r="I27" s="87"/>
    </row>
    <row r="28" spans="2:12" ht="17" thickTop="1" x14ac:dyDescent="0.2">
      <c r="B28" s="205" t="s">
        <v>322</v>
      </c>
      <c r="C28" s="88"/>
      <c r="D28" s="89" t="s">
        <v>212</v>
      </c>
      <c r="E28" s="89" t="s">
        <v>213</v>
      </c>
      <c r="F28" s="90" t="s">
        <v>344</v>
      </c>
      <c r="G28" s="91"/>
      <c r="H28" s="91"/>
      <c r="I28" s="100" t="s">
        <v>197</v>
      </c>
      <c r="J28" s="92"/>
    </row>
    <row r="29" spans="2:12" ht="17" thickBot="1" x14ac:dyDescent="0.25">
      <c r="B29" s="206"/>
      <c r="C29" s="93"/>
      <c r="D29" s="94"/>
      <c r="E29" s="94"/>
      <c r="F29" s="95">
        <v>125110</v>
      </c>
      <c r="G29" s="94"/>
      <c r="H29" s="94"/>
      <c r="I29" s="101" t="s">
        <v>345</v>
      </c>
      <c r="J29" s="96"/>
    </row>
    <row r="30" spans="2:12" ht="17" thickTop="1" x14ac:dyDescent="0.2">
      <c r="B30" s="56"/>
      <c r="I30" s="56"/>
    </row>
    <row r="32" spans="2:12" x14ac:dyDescent="0.2">
      <c r="I32" s="97"/>
    </row>
  </sheetData>
  <mergeCells count="7">
    <mergeCell ref="B28:B29"/>
    <mergeCell ref="B4:B5"/>
    <mergeCell ref="B8:B9"/>
    <mergeCell ref="B12:B13"/>
    <mergeCell ref="B16:B17"/>
    <mergeCell ref="B20:B21"/>
    <mergeCell ref="B24:B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54B5-D2C4-9B47-BD54-EED2D99305E1}">
  <dimension ref="A2:I69"/>
  <sheetViews>
    <sheetView topLeftCell="A36" zoomScale="150" zoomScaleNormal="150" workbookViewId="0">
      <selection activeCell="H21" sqref="H21"/>
    </sheetView>
  </sheetViews>
  <sheetFormatPr baseColWidth="10" defaultRowHeight="16" x14ac:dyDescent="0.2"/>
  <cols>
    <col min="3" max="3" width="11.1640625" bestFit="1" customWidth="1"/>
    <col min="6" max="6" width="49.1640625" bestFit="1" customWidth="1"/>
    <col min="7" max="7" width="24" bestFit="1" customWidth="1"/>
    <col min="8" max="8" width="19.1640625" bestFit="1" customWidth="1"/>
  </cols>
  <sheetData>
    <row r="2" spans="2:4" x14ac:dyDescent="0.2">
      <c r="B2" t="s">
        <v>223</v>
      </c>
    </row>
    <row r="3" spans="2:4" x14ac:dyDescent="0.2">
      <c r="B3" t="s">
        <v>224</v>
      </c>
    </row>
    <row r="4" spans="2:4" x14ac:dyDescent="0.2">
      <c r="B4" t="s">
        <v>225</v>
      </c>
    </row>
    <row r="5" spans="2:4" x14ac:dyDescent="0.2">
      <c r="B5" t="s">
        <v>241</v>
      </c>
    </row>
    <row r="7" spans="2:4" x14ac:dyDescent="0.2">
      <c r="B7" t="s">
        <v>226</v>
      </c>
    </row>
    <row r="9" spans="2:4" x14ac:dyDescent="0.2">
      <c r="B9" t="s">
        <v>227</v>
      </c>
    </row>
    <row r="10" spans="2:4" x14ac:dyDescent="0.2">
      <c r="B10" t="s">
        <v>228</v>
      </c>
    </row>
    <row r="11" spans="2:4" x14ac:dyDescent="0.2">
      <c r="B11" t="s">
        <v>229</v>
      </c>
    </row>
    <row r="12" spans="2:4" x14ac:dyDescent="0.2">
      <c r="B12" t="s">
        <v>230</v>
      </c>
      <c r="C12">
        <v>299792458</v>
      </c>
      <c r="D12" t="s">
        <v>231</v>
      </c>
    </row>
    <row r="13" spans="2:4" x14ac:dyDescent="0.2">
      <c r="B13" t="s">
        <v>232</v>
      </c>
    </row>
    <row r="14" spans="2:4" x14ac:dyDescent="0.2">
      <c r="B14" t="s">
        <v>234</v>
      </c>
    </row>
    <row r="15" spans="2:4" x14ac:dyDescent="0.2">
      <c r="B15" t="s">
        <v>235</v>
      </c>
    </row>
    <row r="16" spans="2:4" x14ac:dyDescent="0.2">
      <c r="B16" t="s">
        <v>236</v>
      </c>
    </row>
    <row r="17" spans="1:9" x14ac:dyDescent="0.2">
      <c r="B17" t="s">
        <v>237</v>
      </c>
    </row>
    <row r="18" spans="1:9" x14ac:dyDescent="0.2">
      <c r="B18" t="s">
        <v>238</v>
      </c>
    </row>
    <row r="20" spans="1:9" x14ac:dyDescent="0.2">
      <c r="B20" t="s">
        <v>74</v>
      </c>
      <c r="C20" t="s">
        <v>73</v>
      </c>
      <c r="D20" t="s">
        <v>233</v>
      </c>
      <c r="E20" t="s">
        <v>239</v>
      </c>
      <c r="F20" t="s">
        <v>342</v>
      </c>
      <c r="G20" t="s">
        <v>341</v>
      </c>
      <c r="H20" t="s">
        <v>343</v>
      </c>
    </row>
    <row r="21" spans="1:9" x14ac:dyDescent="0.2">
      <c r="A21" s="54" t="s">
        <v>340</v>
      </c>
      <c r="B21" s="55">
        <v>4.9999999999999998E-7</v>
      </c>
      <c r="C21" s="55">
        <f>$C$12/B21</f>
        <v>599584916000000</v>
      </c>
      <c r="D21" s="55">
        <f>1/C21</f>
        <v>1.6678204759907603E-15</v>
      </c>
      <c r="E21" s="55">
        <f>$C$12/(2*PI()*C21)</f>
        <v>7.9577471545947674E-8</v>
      </c>
      <c r="F21" s="55">
        <f>2*PI()*E21</f>
        <v>4.9999999999999998E-7</v>
      </c>
      <c r="G21" s="17">
        <f>F21*SQRT(2)</f>
        <v>7.0710678118654758E-7</v>
      </c>
    </row>
    <row r="22" spans="1:9" x14ac:dyDescent="0.2">
      <c r="B22" s="17">
        <f>$C$12/C22</f>
        <v>1.0155229822114207E-34</v>
      </c>
      <c r="C22">
        <v>2.9520991966835318E+42</v>
      </c>
      <c r="D22" s="17">
        <f>1/C22</f>
        <v>3.3874200471428164E-43</v>
      </c>
      <c r="E22" s="17">
        <f>$C$12/(2*PI()*C22)</f>
        <v>1.6162550244237053E-35</v>
      </c>
      <c r="F22" s="17">
        <f t="shared" ref="F22:F65" si="0">2*PI()*E22</f>
        <v>1.0155229822114207E-34</v>
      </c>
      <c r="G22" s="17">
        <f t="shared" ref="G22:G65" si="1">F22*SQRT(2)</f>
        <v>1.4361663743449627E-34</v>
      </c>
      <c r="I22" t="s">
        <v>240</v>
      </c>
    </row>
    <row r="23" spans="1:9" x14ac:dyDescent="0.2">
      <c r="B23" s="17">
        <f>$C$12/C23</f>
        <v>1.0155229822114209E-33</v>
      </c>
      <c r="C23">
        <f>C22/10</f>
        <v>2.9520991966835317E+41</v>
      </c>
      <c r="D23" s="17">
        <f>1/C23</f>
        <v>3.3874200471428169E-42</v>
      </c>
      <c r="E23" s="17">
        <f>$C$12/(2*PI()*C23)</f>
        <v>1.6162550244237053E-34</v>
      </c>
      <c r="F23" s="17">
        <f t="shared" si="0"/>
        <v>1.0155229822114209E-33</v>
      </c>
      <c r="G23" s="17">
        <f t="shared" si="1"/>
        <v>1.4361663743449629E-33</v>
      </c>
    </row>
    <row r="24" spans="1:9" x14ac:dyDescent="0.2">
      <c r="B24" s="17">
        <f t="shared" ref="B24:B65" si="2">$C$12/C24</f>
        <v>1.0155229822114209E-32</v>
      </c>
      <c r="C24">
        <f t="shared" ref="C24:C34" si="3">C23/10</f>
        <v>2.9520991966835318E+40</v>
      </c>
      <c r="D24" s="17">
        <f t="shared" ref="D24:D65" si="4">1/C24</f>
        <v>3.3874200471428164E-41</v>
      </c>
      <c r="E24" s="17">
        <f t="shared" ref="E24:E34" si="5">$C$12/(2*PI()*C24)</f>
        <v>1.6162550244237054E-33</v>
      </c>
      <c r="F24" s="17">
        <f t="shared" si="0"/>
        <v>1.0155229822114209E-32</v>
      </c>
      <c r="G24" s="17">
        <f t="shared" si="1"/>
        <v>1.4361663743449628E-32</v>
      </c>
    </row>
    <row r="25" spans="1:9" x14ac:dyDescent="0.2">
      <c r="B25" s="17">
        <f t="shared" si="2"/>
        <v>1.0155229822114208E-31</v>
      </c>
      <c r="C25">
        <f t="shared" si="3"/>
        <v>2.9520991966835321E+39</v>
      </c>
      <c r="D25" s="17">
        <f t="shared" si="4"/>
        <v>3.3874200471428163E-40</v>
      </c>
      <c r="E25" s="17">
        <f t="shared" si="5"/>
        <v>1.6162550244237052E-32</v>
      </c>
      <c r="F25" s="17">
        <f t="shared" si="0"/>
        <v>1.0155229822114208E-31</v>
      </c>
      <c r="G25" s="17">
        <f t="shared" si="1"/>
        <v>1.4361663743449627E-31</v>
      </c>
    </row>
    <row r="26" spans="1:9" x14ac:dyDescent="0.2">
      <c r="B26" s="17">
        <f t="shared" si="2"/>
        <v>1.0155229822114207E-30</v>
      </c>
      <c r="C26">
        <f t="shared" si="3"/>
        <v>2.9520991966835321E+38</v>
      </c>
      <c r="D26" s="17">
        <f t="shared" si="4"/>
        <v>3.3874200471428163E-39</v>
      </c>
      <c r="E26" s="17">
        <f t="shared" si="5"/>
        <v>1.6162550244237052E-31</v>
      </c>
      <c r="F26" s="17">
        <f t="shared" si="0"/>
        <v>1.0155229822114209E-30</v>
      </c>
      <c r="G26" s="17">
        <f t="shared" si="1"/>
        <v>1.4361663743449628E-30</v>
      </c>
    </row>
    <row r="27" spans="1:9" x14ac:dyDescent="0.2">
      <c r="B27" s="17">
        <f t="shared" si="2"/>
        <v>1.0155229822114206E-29</v>
      </c>
      <c r="C27">
        <f t="shared" si="3"/>
        <v>2.9520991966835323E+37</v>
      </c>
      <c r="D27" s="17">
        <f t="shared" si="4"/>
        <v>3.3874200471428162E-38</v>
      </c>
      <c r="E27" s="17">
        <f t="shared" si="5"/>
        <v>1.6162550244237051E-30</v>
      </c>
      <c r="F27" s="17">
        <f t="shared" si="0"/>
        <v>1.0155229822114207E-29</v>
      </c>
      <c r="G27" s="17">
        <f t="shared" si="1"/>
        <v>1.4361663743449628E-29</v>
      </c>
    </row>
    <row r="28" spans="1:9" x14ac:dyDescent="0.2">
      <c r="B28" s="17">
        <f t="shared" si="2"/>
        <v>1.0155229822114205E-28</v>
      </c>
      <c r="C28">
        <f t="shared" si="3"/>
        <v>2.9520991966835325E+36</v>
      </c>
      <c r="D28" s="17">
        <f t="shared" si="4"/>
        <v>3.3874200471428155E-37</v>
      </c>
      <c r="E28" s="17">
        <f t="shared" si="5"/>
        <v>1.6162550244237049E-29</v>
      </c>
      <c r="F28" s="17">
        <f t="shared" si="0"/>
        <v>1.0155229822114205E-28</v>
      </c>
      <c r="G28" s="17">
        <f t="shared" si="1"/>
        <v>1.4361663743449622E-28</v>
      </c>
    </row>
    <row r="29" spans="1:9" x14ac:dyDescent="0.2">
      <c r="B29" s="17">
        <f t="shared" si="2"/>
        <v>1.0155229822114205E-27</v>
      </c>
      <c r="C29">
        <f t="shared" si="3"/>
        <v>2.9520991966835325E+35</v>
      </c>
      <c r="D29" s="17">
        <f t="shared" si="4"/>
        <v>3.3874200471428154E-36</v>
      </c>
      <c r="E29" s="17">
        <f t="shared" si="5"/>
        <v>1.616255024423705E-28</v>
      </c>
      <c r="F29" s="17">
        <f t="shared" si="0"/>
        <v>1.0155229822114207E-27</v>
      </c>
      <c r="G29" s="17">
        <f t="shared" si="1"/>
        <v>1.4361663743449627E-27</v>
      </c>
    </row>
    <row r="30" spans="1:9" x14ac:dyDescent="0.2">
      <c r="B30" s="17">
        <f t="shared" si="2"/>
        <v>1.0155229822114205E-26</v>
      </c>
      <c r="C30">
        <f t="shared" si="3"/>
        <v>2.9520991966835326E+34</v>
      </c>
      <c r="D30" s="17">
        <f t="shared" si="4"/>
        <v>3.3874200471428155E-35</v>
      </c>
      <c r="E30" s="17">
        <f t="shared" si="5"/>
        <v>1.6162550244237047E-27</v>
      </c>
      <c r="F30" s="17">
        <f t="shared" si="0"/>
        <v>1.0155229822114205E-26</v>
      </c>
      <c r="G30" s="17">
        <f t="shared" si="1"/>
        <v>1.4361663743449622E-26</v>
      </c>
    </row>
    <row r="31" spans="1:9" x14ac:dyDescent="0.2">
      <c r="B31" s="17">
        <f t="shared" si="2"/>
        <v>1.0155229822114205E-25</v>
      </c>
      <c r="C31">
        <f t="shared" si="3"/>
        <v>2.9520991966835328E+33</v>
      </c>
      <c r="D31" s="17">
        <f t="shared" si="4"/>
        <v>3.3874200471428152E-34</v>
      </c>
      <c r="E31" s="17">
        <f t="shared" si="5"/>
        <v>1.6162550244237049E-26</v>
      </c>
      <c r="F31" s="17">
        <f t="shared" si="0"/>
        <v>1.0155229822114206E-25</v>
      </c>
      <c r="G31" s="17">
        <f t="shared" si="1"/>
        <v>1.4361663743449625E-25</v>
      </c>
    </row>
    <row r="32" spans="1:9" x14ac:dyDescent="0.2">
      <c r="B32" s="17">
        <f t="shared" si="2"/>
        <v>1.0155229822114205E-24</v>
      </c>
      <c r="C32">
        <f t="shared" si="3"/>
        <v>2.9520991966835329E+32</v>
      </c>
      <c r="D32" s="17">
        <f t="shared" si="4"/>
        <v>3.3874200471428154E-33</v>
      </c>
      <c r="E32" s="17">
        <f t="shared" si="5"/>
        <v>1.6162550244237049E-25</v>
      </c>
      <c r="F32" s="17">
        <f t="shared" si="0"/>
        <v>1.0155229822114205E-24</v>
      </c>
      <c r="G32" s="17">
        <f t="shared" si="1"/>
        <v>1.4361663743449623E-24</v>
      </c>
    </row>
    <row r="33" spans="2:7" x14ac:dyDescent="0.2">
      <c r="B33" s="17">
        <f t="shared" si="2"/>
        <v>1.0155229822114203E-23</v>
      </c>
      <c r="C33">
        <f t="shared" si="3"/>
        <v>2.9520991966835331E+31</v>
      </c>
      <c r="D33" s="17">
        <f t="shared" si="4"/>
        <v>3.3874200471428152E-32</v>
      </c>
      <c r="E33" s="17">
        <f t="shared" si="5"/>
        <v>1.6162550244237047E-24</v>
      </c>
      <c r="F33" s="17">
        <f t="shared" si="0"/>
        <v>1.0155229822114205E-23</v>
      </c>
      <c r="G33" s="17">
        <f t="shared" si="1"/>
        <v>1.4361663743449622E-23</v>
      </c>
    </row>
    <row r="34" spans="2:7" x14ac:dyDescent="0.2">
      <c r="B34" s="17">
        <f t="shared" si="2"/>
        <v>1.0155229822114205E-22</v>
      </c>
      <c r="C34">
        <f t="shared" si="3"/>
        <v>2.952099196683533E+30</v>
      </c>
      <c r="D34" s="17">
        <f t="shared" si="4"/>
        <v>3.3874200471428152E-31</v>
      </c>
      <c r="E34" s="17">
        <f t="shared" si="5"/>
        <v>1.6162550244237046E-23</v>
      </c>
      <c r="F34" s="17">
        <f t="shared" si="0"/>
        <v>1.0155229822114203E-22</v>
      </c>
      <c r="G34" s="17">
        <f t="shared" si="1"/>
        <v>1.436166374344962E-22</v>
      </c>
    </row>
    <row r="35" spans="2:7" x14ac:dyDescent="0.2">
      <c r="B35" s="17">
        <f t="shared" si="2"/>
        <v>1.0155229822114205E-21</v>
      </c>
      <c r="C35">
        <f t="shared" ref="C35:C43" si="6">C34/10</f>
        <v>2.9520991966835328E+29</v>
      </c>
      <c r="D35" s="17">
        <f t="shared" si="4"/>
        <v>3.3874200471428153E-30</v>
      </c>
      <c r="E35" s="17">
        <f t="shared" ref="E35:E43" si="7">$C$12/(2*PI()*C35)</f>
        <v>1.6162550244237047E-22</v>
      </c>
      <c r="F35" s="17">
        <f t="shared" si="0"/>
        <v>1.0155229822114205E-21</v>
      </c>
      <c r="G35" s="17">
        <f t="shared" si="1"/>
        <v>1.4361663743449623E-21</v>
      </c>
    </row>
    <row r="36" spans="2:7" x14ac:dyDescent="0.2">
      <c r="B36" s="17">
        <f t="shared" si="2"/>
        <v>1.0155229822114205E-20</v>
      </c>
      <c r="C36">
        <f t="shared" si="6"/>
        <v>2.9520991966835329E+28</v>
      </c>
      <c r="D36" s="17">
        <f t="shared" si="4"/>
        <v>3.3874200471428152E-29</v>
      </c>
      <c r="E36" s="17">
        <f t="shared" si="7"/>
        <v>1.6162550244237047E-21</v>
      </c>
      <c r="F36" s="17">
        <f t="shared" si="0"/>
        <v>1.0155229822114205E-20</v>
      </c>
      <c r="G36" s="17">
        <f t="shared" si="1"/>
        <v>1.4361663743449624E-20</v>
      </c>
    </row>
    <row r="37" spans="2:7" x14ac:dyDescent="0.2">
      <c r="B37" s="17">
        <f t="shared" si="2"/>
        <v>1.0155229822114203E-19</v>
      </c>
      <c r="C37">
        <f t="shared" si="6"/>
        <v>2.9520991966835331E+27</v>
      </c>
      <c r="D37" s="17">
        <f t="shared" si="4"/>
        <v>3.3874200471428151E-28</v>
      </c>
      <c r="E37" s="17">
        <f t="shared" si="7"/>
        <v>1.6162550244237047E-20</v>
      </c>
      <c r="F37" s="17">
        <f t="shared" si="0"/>
        <v>1.0155229822114205E-19</v>
      </c>
      <c r="G37" s="17">
        <f t="shared" si="1"/>
        <v>1.4361663743449623E-19</v>
      </c>
    </row>
    <row r="38" spans="2:7" x14ac:dyDescent="0.2">
      <c r="B38" s="17">
        <f t="shared" si="2"/>
        <v>1.0155229822114204E-18</v>
      </c>
      <c r="C38">
        <f t="shared" si="6"/>
        <v>2.9520991966835331E+26</v>
      </c>
      <c r="D38" s="17">
        <f t="shared" si="4"/>
        <v>3.3874200471428151E-27</v>
      </c>
      <c r="E38" s="17">
        <f t="shared" si="7"/>
        <v>1.6162550244237046E-19</v>
      </c>
      <c r="F38" s="17">
        <f t="shared" si="0"/>
        <v>1.0155229822114204E-18</v>
      </c>
      <c r="G38" s="17">
        <f t="shared" si="1"/>
        <v>1.4361663743449623E-18</v>
      </c>
    </row>
    <row r="39" spans="2:7" x14ac:dyDescent="0.2">
      <c r="B39" s="17">
        <f t="shared" si="2"/>
        <v>1.0155229822114204E-17</v>
      </c>
      <c r="C39">
        <f t="shared" si="6"/>
        <v>2.9520991966835332E+25</v>
      </c>
      <c r="D39" s="17">
        <f t="shared" si="4"/>
        <v>3.3874200471428147E-26</v>
      </c>
      <c r="E39" s="17">
        <f t="shared" si="7"/>
        <v>1.6162550244237045E-18</v>
      </c>
      <c r="F39" s="17">
        <f t="shared" si="0"/>
        <v>1.0155229822114204E-17</v>
      </c>
      <c r="G39" s="17">
        <f t="shared" si="1"/>
        <v>1.4361663743449623E-17</v>
      </c>
    </row>
    <row r="40" spans="2:7" x14ac:dyDescent="0.2">
      <c r="B40" s="17">
        <f t="shared" si="2"/>
        <v>1.0155229822114204E-16</v>
      </c>
      <c r="C40">
        <f t="shared" si="6"/>
        <v>2.9520991966835332E+24</v>
      </c>
      <c r="D40" s="17">
        <f t="shared" si="4"/>
        <v>3.3874200471428151E-25</v>
      </c>
      <c r="E40" s="17">
        <f t="shared" si="7"/>
        <v>1.6162550244237047E-17</v>
      </c>
      <c r="F40" s="17">
        <f t="shared" si="0"/>
        <v>1.0155229822114204E-16</v>
      </c>
      <c r="G40" s="17">
        <f t="shared" si="1"/>
        <v>1.4361663743449621E-16</v>
      </c>
    </row>
    <row r="41" spans="2:7" x14ac:dyDescent="0.2">
      <c r="B41" s="17">
        <f t="shared" si="2"/>
        <v>1.0155229822114203E-15</v>
      </c>
      <c r="C41">
        <f t="shared" si="6"/>
        <v>2.9520991966835332E+23</v>
      </c>
      <c r="D41" s="17">
        <f t="shared" si="4"/>
        <v>3.3874200471428149E-24</v>
      </c>
      <c r="E41" s="17">
        <f t="shared" si="7"/>
        <v>1.6162550244237045E-16</v>
      </c>
      <c r="F41" s="17">
        <f t="shared" si="0"/>
        <v>1.0155229822114203E-15</v>
      </c>
      <c r="G41" s="17">
        <f t="shared" si="1"/>
        <v>1.4361663743449621E-15</v>
      </c>
    </row>
    <row r="42" spans="2:7" x14ac:dyDescent="0.2">
      <c r="B42" s="17">
        <f t="shared" si="2"/>
        <v>1.0155229822114202E-14</v>
      </c>
      <c r="C42">
        <f t="shared" si="6"/>
        <v>2.9520991966835333E+22</v>
      </c>
      <c r="D42" s="17">
        <f t="shared" si="4"/>
        <v>3.3874200471428149E-23</v>
      </c>
      <c r="E42" s="17">
        <f t="shared" si="7"/>
        <v>1.6162550244237046E-15</v>
      </c>
      <c r="F42" s="17">
        <f t="shared" si="0"/>
        <v>1.0155229822114204E-14</v>
      </c>
      <c r="G42" s="17">
        <f t="shared" si="1"/>
        <v>1.4361663743449621E-14</v>
      </c>
    </row>
    <row r="43" spans="2:7" x14ac:dyDescent="0.2">
      <c r="B43" s="17">
        <f t="shared" si="2"/>
        <v>1.0155229822114203E-13</v>
      </c>
      <c r="C43">
        <f t="shared" si="6"/>
        <v>2.9520991966835334E+21</v>
      </c>
      <c r="D43" s="17">
        <f t="shared" si="4"/>
        <v>3.3874200471428146E-22</v>
      </c>
      <c r="E43" s="17">
        <f t="shared" si="7"/>
        <v>1.6162550244237044E-14</v>
      </c>
      <c r="F43" s="17">
        <f t="shared" si="0"/>
        <v>1.0155229822114203E-13</v>
      </c>
      <c r="G43" s="17">
        <f t="shared" si="1"/>
        <v>1.436166374344962E-13</v>
      </c>
    </row>
    <row r="44" spans="2:7" x14ac:dyDescent="0.2">
      <c r="B44" s="17">
        <f t="shared" si="2"/>
        <v>1.0155229822114202E-12</v>
      </c>
      <c r="C44">
        <f t="shared" ref="C44:C54" si="8">C43/10</f>
        <v>2.9520991966835337E+20</v>
      </c>
      <c r="D44" s="17">
        <f t="shared" si="4"/>
        <v>3.3874200471428145E-21</v>
      </c>
      <c r="E44" s="17">
        <f t="shared" ref="E44:E54" si="9">$C$12/(2*PI()*C44)</f>
        <v>1.616255024423704E-13</v>
      </c>
      <c r="F44" s="17">
        <f t="shared" si="0"/>
        <v>1.01552298221142E-12</v>
      </c>
      <c r="G44" s="17">
        <f t="shared" si="1"/>
        <v>1.4361663743449615E-12</v>
      </c>
    </row>
    <row r="45" spans="2:7" x14ac:dyDescent="0.2">
      <c r="B45" s="17">
        <f t="shared" si="2"/>
        <v>1.0155229822114203E-11</v>
      </c>
      <c r="C45">
        <f t="shared" si="8"/>
        <v>2.9520991966835335E+19</v>
      </c>
      <c r="D45" s="17">
        <f t="shared" si="4"/>
        <v>3.3874200471428147E-20</v>
      </c>
      <c r="E45" s="17">
        <f t="shared" si="9"/>
        <v>1.6162550244237043E-12</v>
      </c>
      <c r="F45" s="17">
        <f t="shared" si="0"/>
        <v>1.0155229822114202E-11</v>
      </c>
      <c r="G45" s="17">
        <f t="shared" si="1"/>
        <v>1.4361663743449618E-11</v>
      </c>
    </row>
    <row r="46" spans="2:7" x14ac:dyDescent="0.2">
      <c r="B46" s="17">
        <f t="shared" si="2"/>
        <v>1.0155229822114203E-10</v>
      </c>
      <c r="C46">
        <f t="shared" si="8"/>
        <v>2.9520991966835333E+18</v>
      </c>
      <c r="D46" s="17">
        <f t="shared" si="4"/>
        <v>3.3874200471428148E-19</v>
      </c>
      <c r="E46" s="17">
        <f t="shared" si="9"/>
        <v>1.6162550244237045E-11</v>
      </c>
      <c r="F46" s="17">
        <f t="shared" si="0"/>
        <v>1.0155229822114203E-10</v>
      </c>
      <c r="G46" s="17">
        <f t="shared" si="1"/>
        <v>1.4361663743449619E-10</v>
      </c>
    </row>
    <row r="47" spans="2:7" x14ac:dyDescent="0.2">
      <c r="B47" s="17">
        <f t="shared" si="2"/>
        <v>1.0155229822114203E-9</v>
      </c>
      <c r="C47">
        <f t="shared" si="8"/>
        <v>2.9520991966835334E+17</v>
      </c>
      <c r="D47" s="17">
        <f t="shared" si="4"/>
        <v>3.3874200471428146E-18</v>
      </c>
      <c r="E47" s="17">
        <f t="shared" si="9"/>
        <v>1.6162550244237044E-10</v>
      </c>
      <c r="F47" s="17">
        <f t="shared" si="0"/>
        <v>1.0155229822114203E-9</v>
      </c>
      <c r="G47" s="17">
        <f t="shared" si="1"/>
        <v>1.436166374344962E-9</v>
      </c>
    </row>
    <row r="48" spans="2:7" x14ac:dyDescent="0.2">
      <c r="B48" s="17">
        <f t="shared" si="2"/>
        <v>1.0155229822114202E-8</v>
      </c>
      <c r="C48">
        <f t="shared" si="8"/>
        <v>2.9520991966835336E+16</v>
      </c>
      <c r="D48" s="17">
        <f t="shared" si="4"/>
        <v>3.3874200471428144E-17</v>
      </c>
      <c r="E48" s="17">
        <f t="shared" si="9"/>
        <v>1.6162550244237043E-9</v>
      </c>
      <c r="F48" s="17">
        <f t="shared" si="0"/>
        <v>1.0155229822114202E-8</v>
      </c>
      <c r="G48" s="17">
        <f t="shared" si="1"/>
        <v>1.4361663743449619E-8</v>
      </c>
    </row>
    <row r="49" spans="1:7" x14ac:dyDescent="0.2">
      <c r="B49" s="17">
        <f t="shared" si="2"/>
        <v>1.0155229822114203E-7</v>
      </c>
      <c r="C49">
        <f t="shared" si="8"/>
        <v>2952099196683533.5</v>
      </c>
      <c r="D49" s="17">
        <f t="shared" si="4"/>
        <v>3.3874200471428147E-16</v>
      </c>
      <c r="E49" s="17">
        <f t="shared" si="9"/>
        <v>1.6162550244237046E-8</v>
      </c>
      <c r="F49" s="17">
        <f t="shared" si="0"/>
        <v>1.0155229822114204E-7</v>
      </c>
      <c r="G49" s="17">
        <f t="shared" si="1"/>
        <v>1.4361663743449623E-7</v>
      </c>
    </row>
    <row r="50" spans="1:7" x14ac:dyDescent="0.2">
      <c r="A50" t="s">
        <v>340</v>
      </c>
      <c r="B50" s="17">
        <f t="shared" si="2"/>
        <v>1.0155229822114203E-6</v>
      </c>
      <c r="C50">
        <f t="shared" si="8"/>
        <v>295209919668353.38</v>
      </c>
      <c r="D50" s="17">
        <f t="shared" si="4"/>
        <v>3.3874200471428142E-15</v>
      </c>
      <c r="E50" s="17">
        <f t="shared" si="9"/>
        <v>1.6162550244237041E-7</v>
      </c>
      <c r="F50" s="17">
        <f t="shared" si="0"/>
        <v>1.0155229822114201E-6</v>
      </c>
      <c r="G50" s="17">
        <f t="shared" si="1"/>
        <v>1.4361663743449617E-6</v>
      </c>
    </row>
    <row r="51" spans="1:7" x14ac:dyDescent="0.2">
      <c r="B51" s="17">
        <f t="shared" si="2"/>
        <v>1.0155229822114202E-5</v>
      </c>
      <c r="C51">
        <f t="shared" si="8"/>
        <v>29520991966835.336</v>
      </c>
      <c r="D51" s="17">
        <f t="shared" si="4"/>
        <v>3.3874200471428142E-14</v>
      </c>
      <c r="E51" s="17">
        <f t="shared" si="9"/>
        <v>1.6162550244237043E-6</v>
      </c>
      <c r="F51" s="17">
        <f t="shared" si="0"/>
        <v>1.0155229822114202E-5</v>
      </c>
      <c r="G51" s="17">
        <f t="shared" si="1"/>
        <v>1.4361663743449619E-5</v>
      </c>
    </row>
    <row r="52" spans="1:7" x14ac:dyDescent="0.2">
      <c r="B52" s="17">
        <f t="shared" si="2"/>
        <v>1.0155229822114201E-4</v>
      </c>
      <c r="C52">
        <f t="shared" si="8"/>
        <v>2952099196683.5337</v>
      </c>
      <c r="D52" s="17">
        <f t="shared" si="4"/>
        <v>3.3874200471428141E-13</v>
      </c>
      <c r="E52" s="17">
        <f t="shared" si="9"/>
        <v>1.6162550244237044E-5</v>
      </c>
      <c r="F52" s="17">
        <f t="shared" si="0"/>
        <v>1.0155229822114203E-4</v>
      </c>
      <c r="G52" s="17">
        <f t="shared" si="1"/>
        <v>1.4361663743449619E-4</v>
      </c>
    </row>
    <row r="53" spans="1:7" x14ac:dyDescent="0.2">
      <c r="B53" s="17">
        <f t="shared" si="2"/>
        <v>1.0155229822114201E-3</v>
      </c>
      <c r="C53">
        <f t="shared" si="8"/>
        <v>295209919668.35339</v>
      </c>
      <c r="D53" s="17">
        <f t="shared" si="4"/>
        <v>3.3874200471428141E-12</v>
      </c>
      <c r="E53" s="17">
        <f t="shared" si="9"/>
        <v>1.6162550244237041E-4</v>
      </c>
      <c r="F53" s="17">
        <f t="shared" si="0"/>
        <v>1.0155229822114201E-3</v>
      </c>
      <c r="G53" s="17">
        <f t="shared" si="1"/>
        <v>1.4361663743449617E-3</v>
      </c>
    </row>
    <row r="54" spans="1:7" x14ac:dyDescent="0.2">
      <c r="B54" s="17">
        <f t="shared" si="2"/>
        <v>1.0155229822114201E-2</v>
      </c>
      <c r="C54">
        <f t="shared" si="8"/>
        <v>29520991966.835339</v>
      </c>
      <c r="D54" s="17">
        <f t="shared" si="4"/>
        <v>3.3874200471428141E-11</v>
      </c>
      <c r="E54" s="17">
        <f t="shared" si="9"/>
        <v>1.6162550244237042E-3</v>
      </c>
      <c r="F54" s="17">
        <f t="shared" si="0"/>
        <v>1.0155229822114201E-2</v>
      </c>
      <c r="G54" s="17">
        <f t="shared" si="1"/>
        <v>1.4361663743449618E-2</v>
      </c>
    </row>
    <row r="55" spans="1:7" x14ac:dyDescent="0.2">
      <c r="B55" s="17">
        <f t="shared" si="2"/>
        <v>0.10155229822114202</v>
      </c>
      <c r="C55">
        <f t="shared" ref="C55:C64" si="10">C54/10</f>
        <v>2952099196.6835337</v>
      </c>
      <c r="D55" s="17">
        <f t="shared" si="4"/>
        <v>3.3874200471428142E-10</v>
      </c>
      <c r="E55" s="17">
        <f t="shared" ref="E55:E65" si="11">$C$12/(2*PI()*C55)</f>
        <v>1.6162550244237045E-2</v>
      </c>
      <c r="F55" s="17">
        <f t="shared" si="0"/>
        <v>0.10155229822114203</v>
      </c>
      <c r="G55" s="17">
        <f t="shared" si="1"/>
        <v>0.14361663743449621</v>
      </c>
    </row>
    <row r="56" spans="1:7" x14ac:dyDescent="0.2">
      <c r="B56" s="17">
        <f t="shared" si="2"/>
        <v>1.0155229822114202</v>
      </c>
      <c r="C56">
        <f t="shared" si="10"/>
        <v>295209919.66835338</v>
      </c>
      <c r="D56" s="17">
        <f t="shared" si="4"/>
        <v>3.3874200471428142E-9</v>
      </c>
      <c r="E56" s="17">
        <f t="shared" si="11"/>
        <v>0.16162550244237042</v>
      </c>
      <c r="F56" s="17">
        <f t="shared" si="0"/>
        <v>1.0155229822114202</v>
      </c>
      <c r="G56" s="17">
        <f t="shared" si="1"/>
        <v>1.436166374344962</v>
      </c>
    </row>
    <row r="57" spans="1:7" x14ac:dyDescent="0.2">
      <c r="B57" s="17">
        <f t="shared" si="2"/>
        <v>10.155229822114201</v>
      </c>
      <c r="C57">
        <f t="shared" si="10"/>
        <v>29520991.966835339</v>
      </c>
      <c r="D57" s="17">
        <f t="shared" si="4"/>
        <v>3.3874200471428138E-8</v>
      </c>
      <c r="E57" s="17">
        <f t="shared" si="11"/>
        <v>1.6162550244237042</v>
      </c>
      <c r="F57" s="17">
        <f t="shared" si="0"/>
        <v>10.155229822114201</v>
      </c>
      <c r="G57" s="17">
        <f t="shared" si="1"/>
        <v>14.361663743449618</v>
      </c>
    </row>
    <row r="58" spans="1:7" x14ac:dyDescent="0.2">
      <c r="B58" s="17">
        <f t="shared" si="2"/>
        <v>101.55229822114201</v>
      </c>
      <c r="C58">
        <f t="shared" si="10"/>
        <v>2952099.196683534</v>
      </c>
      <c r="D58" s="17">
        <f t="shared" si="4"/>
        <v>3.3874200471428138E-7</v>
      </c>
      <c r="E58" s="17">
        <f t="shared" si="11"/>
        <v>16.162550244237039</v>
      </c>
      <c r="F58" s="17">
        <f t="shared" si="0"/>
        <v>101.552298221142</v>
      </c>
      <c r="G58" s="17">
        <f t="shared" si="1"/>
        <v>143.61663743449614</v>
      </c>
    </row>
    <row r="59" spans="1:7" x14ac:dyDescent="0.2">
      <c r="B59" s="17">
        <f t="shared" si="2"/>
        <v>1015.5229822114201</v>
      </c>
      <c r="C59">
        <f t="shared" si="10"/>
        <v>295209.9196683534</v>
      </c>
      <c r="D59" s="17">
        <f t="shared" si="4"/>
        <v>3.3874200471428139E-6</v>
      </c>
      <c r="E59" s="17">
        <f t="shared" si="11"/>
        <v>161.62550244237042</v>
      </c>
      <c r="F59" s="17">
        <f t="shared" si="0"/>
        <v>1015.5229822114202</v>
      </c>
      <c r="G59" s="17">
        <f t="shared" si="1"/>
        <v>1436.1663743449619</v>
      </c>
    </row>
    <row r="60" spans="1:7" x14ac:dyDescent="0.2">
      <c r="B60" s="17">
        <f t="shared" si="2"/>
        <v>10155.229822114201</v>
      </c>
      <c r="C60">
        <f t="shared" si="10"/>
        <v>29520.99196683534</v>
      </c>
      <c r="D60" s="17">
        <f t="shared" si="4"/>
        <v>3.3874200471428142E-5</v>
      </c>
      <c r="E60" s="17">
        <f t="shared" si="11"/>
        <v>1616.2550244237041</v>
      </c>
      <c r="F60" s="17">
        <f t="shared" si="0"/>
        <v>10155.229822114201</v>
      </c>
      <c r="G60" s="17">
        <f t="shared" si="1"/>
        <v>14361.663743449617</v>
      </c>
    </row>
    <row r="61" spans="1:7" x14ac:dyDescent="0.2">
      <c r="B61" s="17">
        <f t="shared" si="2"/>
        <v>101552.298221142</v>
      </c>
      <c r="C61">
        <f t="shared" si="10"/>
        <v>2952.099196683534</v>
      </c>
      <c r="D61" s="17">
        <f t="shared" si="4"/>
        <v>3.3874200471428138E-4</v>
      </c>
      <c r="E61" s="17">
        <f t="shared" si="11"/>
        <v>16162.550244237042</v>
      </c>
      <c r="F61" s="17">
        <f t="shared" si="0"/>
        <v>101552.29822114202</v>
      </c>
      <c r="G61" s="17">
        <f t="shared" si="1"/>
        <v>143616.6374344962</v>
      </c>
    </row>
    <row r="62" spans="1:7" x14ac:dyDescent="0.2">
      <c r="B62" s="17">
        <f t="shared" si="2"/>
        <v>1015522.9822114201</v>
      </c>
      <c r="C62">
        <f t="shared" si="10"/>
        <v>295.20991966835339</v>
      </c>
      <c r="D62" s="17">
        <f t="shared" si="4"/>
        <v>3.3874200471428139E-3</v>
      </c>
      <c r="E62" s="17">
        <f t="shared" si="11"/>
        <v>161625.50244237043</v>
      </c>
      <c r="F62" s="17">
        <f t="shared" si="0"/>
        <v>1015522.9822114202</v>
      </c>
      <c r="G62" s="17">
        <f t="shared" si="1"/>
        <v>1436166.374344962</v>
      </c>
    </row>
    <row r="63" spans="1:7" x14ac:dyDescent="0.2">
      <c r="B63" s="17">
        <f t="shared" si="2"/>
        <v>10155229.822114201</v>
      </c>
      <c r="C63">
        <f t="shared" si="10"/>
        <v>29.520991966835339</v>
      </c>
      <c r="D63" s="17">
        <f t="shared" si="4"/>
        <v>3.387420047142814E-2</v>
      </c>
      <c r="E63" s="17">
        <f t="shared" si="11"/>
        <v>1616255.024423704</v>
      </c>
      <c r="F63" s="17">
        <f t="shared" si="0"/>
        <v>10155229.822114201</v>
      </c>
      <c r="G63" s="17">
        <f t="shared" si="1"/>
        <v>14361663.743449617</v>
      </c>
    </row>
    <row r="64" spans="1:7" x14ac:dyDescent="0.2">
      <c r="B64" s="17">
        <f t="shared" si="2"/>
        <v>101552298.22114201</v>
      </c>
      <c r="C64">
        <f t="shared" si="10"/>
        <v>2.9520991966835339</v>
      </c>
      <c r="D64" s="17">
        <f t="shared" si="4"/>
        <v>0.3387420047142814</v>
      </c>
      <c r="E64" s="17">
        <f t="shared" si="11"/>
        <v>16162550.244237039</v>
      </c>
      <c r="F64" s="17">
        <f t="shared" si="0"/>
        <v>101552298.22114199</v>
      </c>
      <c r="G64" s="17">
        <f t="shared" si="1"/>
        <v>143616637.43449616</v>
      </c>
    </row>
    <row r="65" spans="2:7" x14ac:dyDescent="0.2">
      <c r="B65" s="17">
        <f t="shared" si="2"/>
        <v>299792458</v>
      </c>
      <c r="C65">
        <v>1</v>
      </c>
      <c r="D65" s="17">
        <f t="shared" si="4"/>
        <v>1</v>
      </c>
      <c r="E65" s="17">
        <f t="shared" si="11"/>
        <v>47713451.592369422</v>
      </c>
      <c r="F65" s="17">
        <f t="shared" si="0"/>
        <v>299792458</v>
      </c>
      <c r="G65" s="17">
        <f t="shared" si="1"/>
        <v>423970560.00076652</v>
      </c>
    </row>
    <row r="66" spans="2:7" x14ac:dyDescent="0.2">
      <c r="B66" s="17"/>
      <c r="D66" s="17"/>
      <c r="E66" s="17"/>
    </row>
    <row r="67" spans="2:7" x14ac:dyDescent="0.2">
      <c r="B67" s="17"/>
      <c r="D67" s="17"/>
      <c r="E67" s="17"/>
    </row>
    <row r="68" spans="2:7" x14ac:dyDescent="0.2">
      <c r="B68" s="17"/>
      <c r="D68" s="17"/>
      <c r="E68" s="17"/>
    </row>
    <row r="69" spans="2:7" x14ac:dyDescent="0.2">
      <c r="B69" s="17"/>
      <c r="D69" s="17"/>
      <c r="E69" s="1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1CA9-75C7-304F-84F3-1A3550E2DE37}">
  <dimension ref="A1:M58"/>
  <sheetViews>
    <sheetView workbookViewId="0">
      <selection activeCell="K6" sqref="K6"/>
    </sheetView>
  </sheetViews>
  <sheetFormatPr baseColWidth="10" defaultRowHeight="16" x14ac:dyDescent="0.2"/>
  <cols>
    <col min="6" max="6" width="13.6640625" bestFit="1" customWidth="1"/>
    <col min="12" max="12" width="11.6640625" bestFit="1" customWidth="1"/>
  </cols>
  <sheetData>
    <row r="1" spans="1:13" x14ac:dyDescent="0.2">
      <c r="A1" t="s">
        <v>245</v>
      </c>
    </row>
    <row r="2" spans="1:13" ht="22" x14ac:dyDescent="0.25">
      <c r="A2" s="44">
        <v>137.035</v>
      </c>
      <c r="C2" t="s">
        <v>242</v>
      </c>
      <c r="K2" t="s">
        <v>243</v>
      </c>
    </row>
    <row r="3" spans="1:13" ht="22" x14ac:dyDescent="0.25">
      <c r="A3" s="44"/>
      <c r="K3" t="s">
        <v>244</v>
      </c>
    </row>
    <row r="4" spans="1:13" ht="22" x14ac:dyDescent="0.25">
      <c r="A4" s="44"/>
      <c r="K4" t="s">
        <v>246</v>
      </c>
    </row>
    <row r="5" spans="1:13" ht="22" x14ac:dyDescent="0.25">
      <c r="A5" s="44"/>
      <c r="K5">
        <v>15</v>
      </c>
      <c r="L5">
        <v>30</v>
      </c>
      <c r="M5">
        <v>60</v>
      </c>
    </row>
    <row r="6" spans="1:13" ht="22" x14ac:dyDescent="0.25">
      <c r="A6" s="44"/>
    </row>
    <row r="7" spans="1:13" ht="22" x14ac:dyDescent="0.25">
      <c r="A7" s="44"/>
    </row>
    <row r="8" spans="1:13" ht="22" x14ac:dyDescent="0.25">
      <c r="A8" s="44"/>
    </row>
    <row r="9" spans="1:13" x14ac:dyDescent="0.2">
      <c r="B9">
        <v>2</v>
      </c>
    </row>
    <row r="10" spans="1:13" x14ac:dyDescent="0.2">
      <c r="B10">
        <v>1</v>
      </c>
      <c r="C10">
        <f t="shared" ref="C10:C43" si="0">B$9*B10</f>
        <v>2</v>
      </c>
      <c r="D10">
        <f>B$9*C10</f>
        <v>4</v>
      </c>
      <c r="E10">
        <f t="shared" ref="E10:E18" si="1">B10*B10+C10*C10+D10*D10</f>
        <v>21</v>
      </c>
      <c r="F10" s="46">
        <f>SQRT(E10)</f>
        <v>4.5825756949558398</v>
      </c>
      <c r="L10" s="46"/>
    </row>
    <row r="11" spans="1:13" x14ac:dyDescent="0.2">
      <c r="B11">
        <v>2</v>
      </c>
      <c r="C11">
        <f t="shared" si="0"/>
        <v>4</v>
      </c>
      <c r="D11">
        <f t="shared" ref="D11:D18" si="2">B$9*C11</f>
        <v>8</v>
      </c>
      <c r="E11">
        <f t="shared" si="1"/>
        <v>84</v>
      </c>
      <c r="F11" s="46">
        <f t="shared" ref="F11:F43" si="3">SQRT(E11)</f>
        <v>9.1651513899116797</v>
      </c>
      <c r="L11" s="46"/>
    </row>
    <row r="12" spans="1:13" x14ac:dyDescent="0.2">
      <c r="B12">
        <v>3</v>
      </c>
      <c r="C12">
        <f t="shared" si="0"/>
        <v>6</v>
      </c>
      <c r="D12">
        <f t="shared" si="2"/>
        <v>12</v>
      </c>
      <c r="E12">
        <f t="shared" si="1"/>
        <v>189</v>
      </c>
      <c r="F12" s="46">
        <f t="shared" si="3"/>
        <v>13.74772708486752</v>
      </c>
      <c r="L12" s="46"/>
    </row>
    <row r="13" spans="1:13" x14ac:dyDescent="0.2">
      <c r="B13">
        <v>4</v>
      </c>
      <c r="C13">
        <f t="shared" si="0"/>
        <v>8</v>
      </c>
      <c r="D13">
        <f t="shared" si="2"/>
        <v>16</v>
      </c>
      <c r="E13">
        <f t="shared" si="1"/>
        <v>336</v>
      </c>
      <c r="F13" s="46">
        <f t="shared" si="3"/>
        <v>18.330302779823359</v>
      </c>
      <c r="L13" s="46"/>
    </row>
    <row r="14" spans="1:13" x14ac:dyDescent="0.2">
      <c r="B14">
        <v>5</v>
      </c>
      <c r="C14">
        <f t="shared" si="0"/>
        <v>10</v>
      </c>
      <c r="D14">
        <f t="shared" si="2"/>
        <v>20</v>
      </c>
      <c r="E14">
        <f t="shared" si="1"/>
        <v>525</v>
      </c>
      <c r="F14" s="46">
        <f t="shared" si="3"/>
        <v>22.912878474779198</v>
      </c>
      <c r="L14" s="46"/>
    </row>
    <row r="15" spans="1:13" x14ac:dyDescent="0.2">
      <c r="B15">
        <v>6</v>
      </c>
      <c r="C15">
        <f t="shared" si="0"/>
        <v>12</v>
      </c>
      <c r="D15">
        <f t="shared" si="2"/>
        <v>24</v>
      </c>
      <c r="E15">
        <f t="shared" si="1"/>
        <v>756</v>
      </c>
      <c r="F15" s="46">
        <f t="shared" si="3"/>
        <v>27.495454169735041</v>
      </c>
      <c r="L15" s="46"/>
    </row>
    <row r="16" spans="1:13" x14ac:dyDescent="0.2">
      <c r="B16">
        <v>7</v>
      </c>
      <c r="C16">
        <f t="shared" si="0"/>
        <v>14</v>
      </c>
      <c r="D16">
        <f t="shared" si="2"/>
        <v>28</v>
      </c>
      <c r="E16">
        <f t="shared" si="1"/>
        <v>1029</v>
      </c>
      <c r="F16" s="46">
        <f t="shared" si="3"/>
        <v>32.078029864690883</v>
      </c>
      <c r="L16" s="46"/>
    </row>
    <row r="17" spans="2:12" x14ac:dyDescent="0.2">
      <c r="B17">
        <v>8</v>
      </c>
      <c r="C17">
        <f t="shared" si="0"/>
        <v>16</v>
      </c>
      <c r="D17">
        <f t="shared" si="2"/>
        <v>32</v>
      </c>
      <c r="E17">
        <f t="shared" si="1"/>
        <v>1344</v>
      </c>
      <c r="F17" s="46">
        <f t="shared" si="3"/>
        <v>36.660605559646719</v>
      </c>
      <c r="L17" s="46"/>
    </row>
    <row r="18" spans="2:12" x14ac:dyDescent="0.2">
      <c r="B18">
        <v>9</v>
      </c>
      <c r="C18">
        <f t="shared" si="0"/>
        <v>18</v>
      </c>
      <c r="D18">
        <f t="shared" si="2"/>
        <v>36</v>
      </c>
      <c r="E18">
        <f t="shared" si="1"/>
        <v>1701</v>
      </c>
      <c r="F18" s="46">
        <f t="shared" si="3"/>
        <v>41.243181254602561</v>
      </c>
      <c r="L18" s="46"/>
    </row>
    <row r="19" spans="2:12" x14ac:dyDescent="0.2">
      <c r="B19">
        <v>10</v>
      </c>
      <c r="C19">
        <f t="shared" si="0"/>
        <v>20</v>
      </c>
      <c r="D19">
        <f t="shared" ref="D19:D43" si="4">B$9*C19</f>
        <v>40</v>
      </c>
      <c r="E19">
        <f t="shared" ref="E19:E43" si="5">B19*B19+C19*C19+D19*D19</f>
        <v>2100</v>
      </c>
      <c r="F19" s="46">
        <f t="shared" si="3"/>
        <v>45.825756949558397</v>
      </c>
      <c r="L19" s="46"/>
    </row>
    <row r="20" spans="2:12" x14ac:dyDescent="0.2">
      <c r="B20">
        <v>11</v>
      </c>
      <c r="C20">
        <f t="shared" si="0"/>
        <v>22</v>
      </c>
      <c r="D20">
        <f t="shared" si="4"/>
        <v>44</v>
      </c>
      <c r="E20">
        <f t="shared" si="5"/>
        <v>2541</v>
      </c>
      <c r="F20" s="46">
        <f t="shared" si="3"/>
        <v>50.408332644514239</v>
      </c>
      <c r="L20" s="46"/>
    </row>
    <row r="21" spans="2:12" x14ac:dyDescent="0.2">
      <c r="B21">
        <v>12</v>
      </c>
      <c r="C21">
        <f t="shared" si="0"/>
        <v>24</v>
      </c>
      <c r="D21">
        <f t="shared" si="4"/>
        <v>48</v>
      </c>
      <c r="E21">
        <f t="shared" si="5"/>
        <v>3024</v>
      </c>
      <c r="F21" s="46">
        <f t="shared" si="3"/>
        <v>54.990908339470082</v>
      </c>
      <c r="L21" s="46"/>
    </row>
    <row r="22" spans="2:12" x14ac:dyDescent="0.2">
      <c r="B22">
        <v>13</v>
      </c>
      <c r="C22">
        <f t="shared" si="0"/>
        <v>26</v>
      </c>
      <c r="D22">
        <f t="shared" si="4"/>
        <v>52</v>
      </c>
      <c r="E22">
        <f t="shared" si="5"/>
        <v>3549</v>
      </c>
      <c r="F22" s="46">
        <f t="shared" si="3"/>
        <v>59.573484034425917</v>
      </c>
      <c r="L22" s="46"/>
    </row>
    <row r="23" spans="2:12" x14ac:dyDescent="0.2">
      <c r="B23">
        <v>14</v>
      </c>
      <c r="C23">
        <f t="shared" si="0"/>
        <v>28</v>
      </c>
      <c r="D23">
        <f t="shared" si="4"/>
        <v>56</v>
      </c>
      <c r="E23">
        <f t="shared" si="5"/>
        <v>4116</v>
      </c>
      <c r="F23" s="46">
        <f t="shared" si="3"/>
        <v>64.156059729381766</v>
      </c>
      <c r="L23" s="46"/>
    </row>
    <row r="24" spans="2:12" x14ac:dyDescent="0.2">
      <c r="B24">
        <v>15</v>
      </c>
      <c r="C24">
        <f t="shared" si="0"/>
        <v>30</v>
      </c>
      <c r="D24">
        <f t="shared" si="4"/>
        <v>60</v>
      </c>
      <c r="E24">
        <f t="shared" si="5"/>
        <v>4725</v>
      </c>
      <c r="F24" s="46">
        <f t="shared" si="3"/>
        <v>68.738635424337602</v>
      </c>
      <c r="L24" s="46"/>
    </row>
    <row r="25" spans="2:12" x14ac:dyDescent="0.2">
      <c r="B25">
        <v>16</v>
      </c>
      <c r="C25">
        <f t="shared" si="0"/>
        <v>32</v>
      </c>
      <c r="D25">
        <f t="shared" si="4"/>
        <v>64</v>
      </c>
      <c r="E25">
        <f t="shared" si="5"/>
        <v>5376</v>
      </c>
      <c r="F25" s="46">
        <f t="shared" si="3"/>
        <v>73.321211119293437</v>
      </c>
      <c r="L25" s="46"/>
    </row>
    <row r="26" spans="2:12" x14ac:dyDescent="0.2">
      <c r="B26">
        <v>17</v>
      </c>
      <c r="C26">
        <f t="shared" si="0"/>
        <v>34</v>
      </c>
      <c r="D26">
        <f t="shared" si="4"/>
        <v>68</v>
      </c>
      <c r="E26">
        <f t="shared" si="5"/>
        <v>6069</v>
      </c>
      <c r="F26" s="46">
        <f t="shared" si="3"/>
        <v>77.903786814249287</v>
      </c>
      <c r="L26" s="46"/>
    </row>
    <row r="27" spans="2:12" x14ac:dyDescent="0.2">
      <c r="B27">
        <v>18</v>
      </c>
      <c r="C27">
        <f t="shared" si="0"/>
        <v>36</v>
      </c>
      <c r="D27">
        <f t="shared" si="4"/>
        <v>72</v>
      </c>
      <c r="E27">
        <f t="shared" si="5"/>
        <v>6804</v>
      </c>
      <c r="F27" s="46">
        <f t="shared" si="3"/>
        <v>82.486362509205122</v>
      </c>
      <c r="L27" s="46"/>
    </row>
    <row r="28" spans="2:12" x14ac:dyDescent="0.2">
      <c r="B28">
        <v>19</v>
      </c>
      <c r="C28">
        <f t="shared" si="0"/>
        <v>38</v>
      </c>
      <c r="D28">
        <f t="shared" si="4"/>
        <v>76</v>
      </c>
      <c r="E28">
        <f t="shared" si="5"/>
        <v>7581</v>
      </c>
      <c r="F28" s="46">
        <f t="shared" si="3"/>
        <v>87.068938204160958</v>
      </c>
      <c r="L28" s="46"/>
    </row>
    <row r="29" spans="2:12" x14ac:dyDescent="0.2">
      <c r="B29">
        <v>20</v>
      </c>
      <c r="C29">
        <f t="shared" si="0"/>
        <v>40</v>
      </c>
      <c r="D29">
        <f t="shared" si="4"/>
        <v>80</v>
      </c>
      <c r="E29">
        <f t="shared" si="5"/>
        <v>8400</v>
      </c>
      <c r="F29" s="46">
        <f t="shared" si="3"/>
        <v>91.651513899116793</v>
      </c>
      <c r="L29" s="46"/>
    </row>
    <row r="30" spans="2:12" x14ac:dyDescent="0.2">
      <c r="B30">
        <v>21</v>
      </c>
      <c r="C30">
        <f t="shared" si="0"/>
        <v>42</v>
      </c>
      <c r="D30">
        <f t="shared" si="4"/>
        <v>84</v>
      </c>
      <c r="E30">
        <f t="shared" si="5"/>
        <v>9261</v>
      </c>
      <c r="F30" s="46">
        <f t="shared" si="3"/>
        <v>96.234089594072643</v>
      </c>
      <c r="L30" s="46"/>
    </row>
    <row r="31" spans="2:12" x14ac:dyDescent="0.2">
      <c r="B31">
        <v>22</v>
      </c>
      <c r="C31">
        <f t="shared" si="0"/>
        <v>44</v>
      </c>
      <c r="D31">
        <f t="shared" si="4"/>
        <v>88</v>
      </c>
      <c r="E31">
        <f t="shared" si="5"/>
        <v>10164</v>
      </c>
      <c r="F31" s="46">
        <f t="shared" si="3"/>
        <v>100.81666528902848</v>
      </c>
      <c r="L31" s="46"/>
    </row>
    <row r="32" spans="2:12" x14ac:dyDescent="0.2">
      <c r="B32">
        <v>23</v>
      </c>
      <c r="C32">
        <f t="shared" si="0"/>
        <v>46</v>
      </c>
      <c r="D32">
        <f t="shared" si="4"/>
        <v>92</v>
      </c>
      <c r="E32">
        <f t="shared" si="5"/>
        <v>11109</v>
      </c>
      <c r="F32" s="46">
        <f t="shared" si="3"/>
        <v>105.39924098398431</v>
      </c>
      <c r="L32" s="46"/>
    </row>
    <row r="33" spans="2:12" x14ac:dyDescent="0.2">
      <c r="B33">
        <v>24</v>
      </c>
      <c r="C33">
        <f t="shared" si="0"/>
        <v>48</v>
      </c>
      <c r="D33">
        <f t="shared" si="4"/>
        <v>96</v>
      </c>
      <c r="E33">
        <f t="shared" si="5"/>
        <v>12096</v>
      </c>
      <c r="F33" s="46">
        <f t="shared" si="3"/>
        <v>109.98181667894016</v>
      </c>
      <c r="L33" s="46"/>
    </row>
    <row r="34" spans="2:12" x14ac:dyDescent="0.2">
      <c r="B34">
        <v>25</v>
      </c>
      <c r="C34">
        <f t="shared" si="0"/>
        <v>50</v>
      </c>
      <c r="D34">
        <f t="shared" si="4"/>
        <v>100</v>
      </c>
      <c r="E34">
        <f t="shared" si="5"/>
        <v>13125</v>
      </c>
      <c r="F34" s="46">
        <f t="shared" si="3"/>
        <v>114.564392373896</v>
      </c>
      <c r="L34" s="46"/>
    </row>
    <row r="35" spans="2:12" x14ac:dyDescent="0.2">
      <c r="B35">
        <v>26</v>
      </c>
      <c r="C35">
        <f t="shared" si="0"/>
        <v>52</v>
      </c>
      <c r="D35">
        <f t="shared" si="4"/>
        <v>104</v>
      </c>
      <c r="E35">
        <f t="shared" si="5"/>
        <v>14196</v>
      </c>
      <c r="F35" s="46">
        <f t="shared" si="3"/>
        <v>119.14696806885183</v>
      </c>
      <c r="L35" s="46"/>
    </row>
    <row r="36" spans="2:12" x14ac:dyDescent="0.2">
      <c r="B36">
        <v>27</v>
      </c>
      <c r="C36">
        <f t="shared" si="0"/>
        <v>54</v>
      </c>
      <c r="D36">
        <f t="shared" si="4"/>
        <v>108</v>
      </c>
      <c r="E36">
        <f t="shared" si="5"/>
        <v>15309</v>
      </c>
      <c r="F36" s="46">
        <f t="shared" si="3"/>
        <v>123.72954376380768</v>
      </c>
      <c r="L36" s="46"/>
    </row>
    <row r="37" spans="2:12" x14ac:dyDescent="0.2">
      <c r="B37">
        <v>28</v>
      </c>
      <c r="C37">
        <f t="shared" si="0"/>
        <v>56</v>
      </c>
      <c r="D37">
        <f t="shared" si="4"/>
        <v>112</v>
      </c>
      <c r="E37">
        <f t="shared" si="5"/>
        <v>16464</v>
      </c>
      <c r="F37" s="46">
        <f t="shared" si="3"/>
        <v>128.31211945876353</v>
      </c>
      <c r="L37" s="46"/>
    </row>
    <row r="38" spans="2:12" x14ac:dyDescent="0.2">
      <c r="B38">
        <v>29</v>
      </c>
      <c r="C38">
        <f t="shared" si="0"/>
        <v>58</v>
      </c>
      <c r="D38">
        <f t="shared" si="4"/>
        <v>116</v>
      </c>
      <c r="E38">
        <f t="shared" si="5"/>
        <v>17661</v>
      </c>
      <c r="F38" s="46">
        <f t="shared" si="3"/>
        <v>132.89469515371937</v>
      </c>
      <c r="L38" s="46"/>
    </row>
    <row r="39" spans="2:12" x14ac:dyDescent="0.2">
      <c r="B39" s="45">
        <v>30</v>
      </c>
      <c r="C39" s="45">
        <f t="shared" si="0"/>
        <v>60</v>
      </c>
      <c r="D39" s="45">
        <f t="shared" si="4"/>
        <v>120</v>
      </c>
      <c r="E39" s="45">
        <f t="shared" si="5"/>
        <v>18900</v>
      </c>
      <c r="F39" s="47">
        <f t="shared" si="3"/>
        <v>137.4772708486752</v>
      </c>
      <c r="G39">
        <f>SQRT(POWER(30,2)+POWER(60,2)+POWER(120,2))</f>
        <v>137.4772708486752</v>
      </c>
      <c r="L39" s="46"/>
    </row>
    <row r="40" spans="2:12" x14ac:dyDescent="0.2">
      <c r="B40">
        <v>31</v>
      </c>
      <c r="C40">
        <f t="shared" si="0"/>
        <v>62</v>
      </c>
      <c r="D40">
        <f t="shared" si="4"/>
        <v>124</v>
      </c>
      <c r="E40">
        <f t="shared" si="5"/>
        <v>20181</v>
      </c>
      <c r="F40" s="46">
        <f t="shared" si="3"/>
        <v>142.05984654363104</v>
      </c>
      <c r="L40" s="46"/>
    </row>
    <row r="41" spans="2:12" x14ac:dyDescent="0.2">
      <c r="B41">
        <v>32</v>
      </c>
      <c r="C41">
        <f t="shared" si="0"/>
        <v>64</v>
      </c>
      <c r="D41">
        <f t="shared" si="4"/>
        <v>128</v>
      </c>
      <c r="E41">
        <f t="shared" si="5"/>
        <v>21504</v>
      </c>
      <c r="F41" s="46">
        <f t="shared" si="3"/>
        <v>146.64242223858687</v>
      </c>
      <c r="L41" s="46"/>
    </row>
    <row r="42" spans="2:12" x14ac:dyDescent="0.2">
      <c r="B42">
        <v>33</v>
      </c>
      <c r="C42">
        <f t="shared" si="0"/>
        <v>66</v>
      </c>
      <c r="D42">
        <f t="shared" si="4"/>
        <v>132</v>
      </c>
      <c r="E42">
        <f t="shared" si="5"/>
        <v>22869</v>
      </c>
      <c r="F42" s="46">
        <f t="shared" si="3"/>
        <v>151.22499793354271</v>
      </c>
      <c r="L42" s="46"/>
    </row>
    <row r="43" spans="2:12" x14ac:dyDescent="0.2">
      <c r="B43">
        <v>34</v>
      </c>
      <c r="C43">
        <f t="shared" si="0"/>
        <v>68</v>
      </c>
      <c r="D43">
        <f t="shared" si="4"/>
        <v>136</v>
      </c>
      <c r="E43">
        <f t="shared" si="5"/>
        <v>24276</v>
      </c>
      <c r="F43" s="46">
        <f t="shared" si="3"/>
        <v>155.80757362849857</v>
      </c>
      <c r="L43" s="46"/>
    </row>
    <row r="44" spans="2:12" x14ac:dyDescent="0.2">
      <c r="F44" s="46"/>
      <c r="L44" s="46"/>
    </row>
    <row r="45" spans="2:12" x14ac:dyDescent="0.2">
      <c r="F45" s="46"/>
      <c r="L45" s="46"/>
    </row>
    <row r="46" spans="2:12" x14ac:dyDescent="0.2">
      <c r="F46" s="46"/>
      <c r="L46" s="46"/>
    </row>
    <row r="47" spans="2:12" x14ac:dyDescent="0.2">
      <c r="F47" s="46"/>
      <c r="L47" s="46"/>
    </row>
    <row r="48" spans="2:12" x14ac:dyDescent="0.2">
      <c r="F48" s="46"/>
      <c r="L48" s="46"/>
    </row>
    <row r="49" spans="6:12" x14ac:dyDescent="0.2">
      <c r="F49" s="46"/>
      <c r="L49" s="46"/>
    </row>
    <row r="50" spans="6:12" x14ac:dyDescent="0.2">
      <c r="F50" s="46"/>
      <c r="L50" s="46"/>
    </row>
    <row r="51" spans="6:12" x14ac:dyDescent="0.2">
      <c r="F51" s="46"/>
      <c r="L51" s="46"/>
    </row>
    <row r="52" spans="6:12" x14ac:dyDescent="0.2">
      <c r="F52" s="46"/>
      <c r="L52" s="46"/>
    </row>
    <row r="53" spans="6:12" x14ac:dyDescent="0.2">
      <c r="F53" s="46"/>
      <c r="L53" s="46"/>
    </row>
    <row r="54" spans="6:12" x14ac:dyDescent="0.2">
      <c r="F54" s="46"/>
      <c r="L54" s="46"/>
    </row>
    <row r="55" spans="6:12" x14ac:dyDescent="0.2">
      <c r="F55" s="46"/>
      <c r="L55" s="46"/>
    </row>
    <row r="56" spans="6:12" x14ac:dyDescent="0.2">
      <c r="F56" s="46"/>
      <c r="L56" s="46"/>
    </row>
    <row r="57" spans="6:12" x14ac:dyDescent="0.2">
      <c r="F57" s="46"/>
      <c r="L57" s="46"/>
    </row>
    <row r="58" spans="6:12" x14ac:dyDescent="0.2">
      <c r="F58" s="46"/>
      <c r="L58" s="4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1651-6FC3-0E40-903F-1D9498A13B8C}">
  <dimension ref="A2:H22"/>
  <sheetViews>
    <sheetView zoomScale="205" zoomScaleNormal="205" workbookViewId="0">
      <selection activeCell="B23" sqref="B23"/>
    </sheetView>
  </sheetViews>
  <sheetFormatPr baseColWidth="10" defaultRowHeight="16" x14ac:dyDescent="0.2"/>
  <cols>
    <col min="1" max="1" width="10.83203125" style="14"/>
    <col min="2" max="2" width="29.33203125" style="14" bestFit="1" customWidth="1"/>
    <col min="3" max="3" width="11.6640625" style="14" bestFit="1" customWidth="1"/>
    <col min="4" max="4" width="9.83203125" style="14" customWidth="1"/>
    <col min="5" max="5" width="14.83203125" style="14" bestFit="1" customWidth="1"/>
    <col min="6" max="6" width="12.83203125" style="14" bestFit="1" customWidth="1"/>
    <col min="7" max="7" width="23.5" style="14" bestFit="1" customWidth="1"/>
    <col min="8" max="16384" width="10.83203125" style="14"/>
  </cols>
  <sheetData>
    <row r="2" spans="1:8" x14ac:dyDescent="0.2">
      <c r="B2" s="14" t="s">
        <v>258</v>
      </c>
      <c r="C2" s="14" t="s">
        <v>8</v>
      </c>
      <c r="D2" s="14">
        <f>D3*2*PI()</f>
        <v>4.1356554010386749E-15</v>
      </c>
      <c r="E2" s="14" t="s">
        <v>261</v>
      </c>
      <c r="G2" s="41" t="s">
        <v>259</v>
      </c>
      <c r="H2" s="14" t="s">
        <v>260</v>
      </c>
    </row>
    <row r="3" spans="1:8" x14ac:dyDescent="0.2">
      <c r="B3" s="14" t="s">
        <v>247</v>
      </c>
      <c r="C3" s="14" t="s">
        <v>248</v>
      </c>
      <c r="D3" s="14">
        <f>6.5821*POWER(10,-16)</f>
        <v>6.582099999999999E-16</v>
      </c>
      <c r="E3" s="14" t="s">
        <v>262</v>
      </c>
    </row>
    <row r="4" spans="1:8" x14ac:dyDescent="0.2">
      <c r="A4" s="14" t="s">
        <v>183</v>
      </c>
      <c r="B4" s="14" t="s">
        <v>255</v>
      </c>
      <c r="C4" s="14" t="s">
        <v>256</v>
      </c>
      <c r="D4" s="14">
        <v>299792458</v>
      </c>
      <c r="E4" s="14" t="s">
        <v>263</v>
      </c>
    </row>
    <row r="7" spans="1:8" x14ac:dyDescent="0.2">
      <c r="C7" s="14" t="s">
        <v>250</v>
      </c>
      <c r="D7" s="14" t="s">
        <v>253</v>
      </c>
      <c r="E7" s="14" t="s">
        <v>251</v>
      </c>
      <c r="F7" s="14" t="s">
        <v>77</v>
      </c>
    </row>
    <row r="8" spans="1:8" x14ac:dyDescent="0.2">
      <c r="B8" s="14" t="s">
        <v>252</v>
      </c>
      <c r="D8" s="14">
        <f>1/D3</f>
        <v>1519271964874432.5</v>
      </c>
    </row>
    <row r="9" spans="1:8" x14ac:dyDescent="0.2">
      <c r="B9" s="14" t="s">
        <v>254</v>
      </c>
      <c r="F9" s="14">
        <f>1.8549*POWER(10,43)</f>
        <v>1.8549000000000001E+43</v>
      </c>
    </row>
    <row r="10" spans="1:8" x14ac:dyDescent="0.2">
      <c r="B10" s="14" t="s">
        <v>249</v>
      </c>
      <c r="C10" s="14">
        <f>173.1*POWER(10,9)</f>
        <v>173100000000</v>
      </c>
      <c r="D10" s="14">
        <f>1/D3</f>
        <v>1519271964874432.5</v>
      </c>
      <c r="E10" s="14">
        <f>C10*D10</f>
        <v>2.6298597711976426E+26</v>
      </c>
      <c r="F10" s="14">
        <f>E10*D4*D4</f>
        <v>2.3636000887155033E+43</v>
      </c>
    </row>
    <row r="16" spans="1:8" x14ac:dyDescent="0.2">
      <c r="F16" s="14">
        <f>F10/F9</f>
        <v>1.2742466379403219</v>
      </c>
    </row>
    <row r="17" spans="2:6" x14ac:dyDescent="0.2">
      <c r="F17" s="14">
        <f>1/F16</f>
        <v>0.78477742865885747</v>
      </c>
    </row>
    <row r="18" spans="2:6" x14ac:dyDescent="0.2">
      <c r="E18" s="14" t="s">
        <v>257</v>
      </c>
      <c r="F18" s="14">
        <f>PI()/2</f>
        <v>1.5707963267948966</v>
      </c>
    </row>
    <row r="20" spans="2:6" x14ac:dyDescent="0.2">
      <c r="B20" s="14" t="s">
        <v>264</v>
      </c>
    </row>
    <row r="21" spans="2:6" x14ac:dyDescent="0.2">
      <c r="B21" s="14" t="s">
        <v>265</v>
      </c>
    </row>
    <row r="22" spans="2:6" x14ac:dyDescent="0.2">
      <c r="B22" s="14" t="s">
        <v>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05FD-B224-184F-B4B7-0268E747E852}">
  <dimension ref="B3:G48"/>
  <sheetViews>
    <sheetView topLeftCell="A42" zoomScale="140" zoomScaleNormal="140" workbookViewId="0">
      <selection activeCell="B5" sqref="B5:G47"/>
    </sheetView>
  </sheetViews>
  <sheetFormatPr baseColWidth="10" defaultRowHeight="16" x14ac:dyDescent="0.2"/>
  <cols>
    <col min="2" max="2" width="92" bestFit="1" customWidth="1"/>
    <col min="3" max="3" width="12.6640625" bestFit="1" customWidth="1"/>
    <col min="4" max="4" width="17.5" bestFit="1" customWidth="1"/>
  </cols>
  <sheetData>
    <row r="3" spans="2:7" ht="35" x14ac:dyDescent="0.35">
      <c r="B3" s="48" t="s">
        <v>267</v>
      </c>
    </row>
    <row r="4" spans="2:7" ht="28" x14ac:dyDescent="0.35">
      <c r="B4" s="49"/>
    </row>
    <row r="5" spans="2:7" ht="28" x14ac:dyDescent="0.35">
      <c r="B5" s="50" t="s">
        <v>268</v>
      </c>
      <c r="C5" t="s">
        <v>314</v>
      </c>
      <c r="D5" s="50" t="s">
        <v>269</v>
      </c>
      <c r="E5" t="s">
        <v>312</v>
      </c>
      <c r="F5" t="s">
        <v>313</v>
      </c>
      <c r="G5" t="s">
        <v>40</v>
      </c>
    </row>
    <row r="6" spans="2:7" ht="28" x14ac:dyDescent="0.35">
      <c r="B6" s="49" t="s">
        <v>270</v>
      </c>
      <c r="C6">
        <f t="shared" ref="C6:C47" si="0">(E6*36+F6*36+12*G6)*D6</f>
        <v>2.0256000000000001E+29</v>
      </c>
      <c r="D6">
        <v>4.2199999999999998E+27</v>
      </c>
      <c r="E6">
        <v>1</v>
      </c>
      <c r="F6">
        <v>0</v>
      </c>
      <c r="G6">
        <v>1</v>
      </c>
    </row>
    <row r="7" spans="2:7" ht="28" x14ac:dyDescent="0.35">
      <c r="B7" s="49" t="s">
        <v>271</v>
      </c>
      <c r="C7">
        <f t="shared" si="0"/>
        <v>1.08192E+30</v>
      </c>
      <c r="D7">
        <v>1.61E+27</v>
      </c>
      <c r="E7">
        <v>8</v>
      </c>
      <c r="F7">
        <f>E7</f>
        <v>8</v>
      </c>
      <c r="G7">
        <f>E7</f>
        <v>8</v>
      </c>
    </row>
    <row r="8" spans="2:7" ht="28" x14ac:dyDescent="0.35">
      <c r="B8" s="49" t="s">
        <v>272</v>
      </c>
      <c r="C8">
        <f t="shared" si="0"/>
        <v>4.0471199999999998E+29</v>
      </c>
      <c r="D8">
        <v>8.03E+26</v>
      </c>
      <c r="E8">
        <v>6</v>
      </c>
      <c r="F8">
        <f t="shared" ref="F8:F47" si="1">E8</f>
        <v>6</v>
      </c>
      <c r="G8">
        <f t="shared" ref="G8:G47" si="2">E8</f>
        <v>6</v>
      </c>
    </row>
    <row r="9" spans="2:7" ht="28" x14ac:dyDescent="0.35">
      <c r="B9" s="49" t="s">
        <v>273</v>
      </c>
      <c r="C9">
        <f t="shared" si="0"/>
        <v>2.2932000000000002E+28</v>
      </c>
      <c r="D9">
        <v>3.9000000000000002E+25</v>
      </c>
      <c r="E9">
        <v>7</v>
      </c>
      <c r="F9">
        <f t="shared" si="1"/>
        <v>7</v>
      </c>
      <c r="G9">
        <f t="shared" si="2"/>
        <v>7</v>
      </c>
    </row>
    <row r="10" spans="2:7" ht="28" x14ac:dyDescent="0.35">
      <c r="B10" s="49" t="s">
        <v>274</v>
      </c>
      <c r="C10">
        <f t="shared" si="0"/>
        <v>2.6880000000000001E+28</v>
      </c>
      <c r="D10">
        <v>1.6000000000000002E+25</v>
      </c>
      <c r="E10">
        <v>20</v>
      </c>
      <c r="F10">
        <f t="shared" si="1"/>
        <v>20</v>
      </c>
      <c r="G10">
        <f t="shared" si="2"/>
        <v>20</v>
      </c>
    </row>
    <row r="11" spans="2:7" ht="28" x14ac:dyDescent="0.35">
      <c r="B11" s="49" t="s">
        <v>275</v>
      </c>
      <c r="C11">
        <f t="shared" si="0"/>
        <v>1.2096E+28</v>
      </c>
      <c r="D11">
        <v>9.5999999999999992E+24</v>
      </c>
      <c r="E11">
        <v>15</v>
      </c>
      <c r="F11">
        <f t="shared" si="1"/>
        <v>15</v>
      </c>
      <c r="G11">
        <f t="shared" si="2"/>
        <v>15</v>
      </c>
    </row>
    <row r="12" spans="2:7" ht="28" x14ac:dyDescent="0.35">
      <c r="B12" s="49" t="s">
        <v>276</v>
      </c>
      <c r="C12">
        <f t="shared" si="0"/>
        <v>3.4943999999999995E+27</v>
      </c>
      <c r="D12">
        <v>2.5999999999999998E+24</v>
      </c>
      <c r="E12">
        <v>16</v>
      </c>
      <c r="F12">
        <f t="shared" si="1"/>
        <v>16</v>
      </c>
      <c r="G12">
        <f t="shared" si="2"/>
        <v>16</v>
      </c>
    </row>
    <row r="13" spans="2:7" ht="28" x14ac:dyDescent="0.35">
      <c r="B13" s="49" t="s">
        <v>277</v>
      </c>
      <c r="C13">
        <f t="shared" si="0"/>
        <v>2.3099999999999997E+27</v>
      </c>
      <c r="D13">
        <v>2.4999999999999997E+24</v>
      </c>
      <c r="E13">
        <v>11</v>
      </c>
      <c r="F13">
        <f t="shared" si="1"/>
        <v>11</v>
      </c>
      <c r="G13">
        <f t="shared" si="2"/>
        <v>11</v>
      </c>
    </row>
    <row r="14" spans="2:7" ht="28" x14ac:dyDescent="0.35">
      <c r="B14" s="49" t="s">
        <v>278</v>
      </c>
      <c r="C14">
        <f t="shared" si="0"/>
        <v>3.5111999999999999E+27</v>
      </c>
      <c r="D14">
        <v>2.2E+24</v>
      </c>
      <c r="E14">
        <v>19</v>
      </c>
      <c r="F14">
        <f t="shared" si="1"/>
        <v>19</v>
      </c>
      <c r="G14">
        <f t="shared" si="2"/>
        <v>19</v>
      </c>
    </row>
    <row r="15" spans="2:7" ht="28" x14ac:dyDescent="0.35">
      <c r="B15" s="49" t="s">
        <v>279</v>
      </c>
      <c r="C15">
        <f t="shared" si="0"/>
        <v>2.2848000000000001E+27</v>
      </c>
      <c r="D15">
        <v>1.6000000000000001E+24</v>
      </c>
      <c r="E15">
        <v>17</v>
      </c>
      <c r="F15">
        <f t="shared" si="1"/>
        <v>17</v>
      </c>
      <c r="G15">
        <f t="shared" si="2"/>
        <v>17</v>
      </c>
    </row>
    <row r="16" spans="2:7" ht="28" x14ac:dyDescent="0.35">
      <c r="B16" s="49" t="s">
        <v>280</v>
      </c>
      <c r="C16">
        <f t="shared" si="0"/>
        <v>4.7375999999999995E+26</v>
      </c>
      <c r="D16">
        <v>4.6999999999999997E+23</v>
      </c>
      <c r="E16">
        <v>12</v>
      </c>
      <c r="F16">
        <f t="shared" si="1"/>
        <v>12</v>
      </c>
      <c r="G16">
        <f t="shared" si="2"/>
        <v>12</v>
      </c>
    </row>
    <row r="17" spans="2:7" ht="28" x14ac:dyDescent="0.35">
      <c r="B17" s="49" t="s">
        <v>281</v>
      </c>
      <c r="C17">
        <f t="shared" si="0"/>
        <v>4.5863999999999994E+26</v>
      </c>
      <c r="D17">
        <v>3.8999999999999994E+23</v>
      </c>
      <c r="E17">
        <v>14</v>
      </c>
      <c r="F17">
        <f t="shared" si="1"/>
        <v>14</v>
      </c>
      <c r="G17">
        <f t="shared" si="2"/>
        <v>14</v>
      </c>
    </row>
    <row r="18" spans="2:7" ht="28" x14ac:dyDescent="0.35">
      <c r="B18" s="49" t="s">
        <v>282</v>
      </c>
      <c r="C18">
        <f t="shared" si="0"/>
        <v>6.2748000000000002E+25</v>
      </c>
      <c r="D18">
        <v>8.3000000000000002E+22</v>
      </c>
      <c r="E18">
        <v>9</v>
      </c>
      <c r="F18">
        <f t="shared" si="1"/>
        <v>9</v>
      </c>
      <c r="G18">
        <f t="shared" si="2"/>
        <v>9</v>
      </c>
    </row>
    <row r="19" spans="2:7" ht="28" x14ac:dyDescent="0.35">
      <c r="B19" s="49" t="s">
        <v>283</v>
      </c>
      <c r="C19">
        <f t="shared" si="0"/>
        <v>9.8280000000000004E+25</v>
      </c>
      <c r="D19">
        <v>4.4999999999999998E+22</v>
      </c>
      <c r="E19">
        <v>26</v>
      </c>
      <c r="F19">
        <f t="shared" si="1"/>
        <v>26</v>
      </c>
      <c r="G19">
        <f t="shared" si="2"/>
        <v>26</v>
      </c>
    </row>
    <row r="20" spans="2:7" ht="28" x14ac:dyDescent="0.35">
      <c r="B20" s="49" t="s">
        <v>284</v>
      </c>
      <c r="C20">
        <f t="shared" si="0"/>
        <v>5.2920000000000005E+25</v>
      </c>
      <c r="D20">
        <v>2.1000000000000002E+22</v>
      </c>
      <c r="E20">
        <v>30</v>
      </c>
      <c r="F20">
        <f t="shared" si="1"/>
        <v>30</v>
      </c>
      <c r="G20">
        <f t="shared" si="2"/>
        <v>30</v>
      </c>
    </row>
    <row r="21" spans="2:7" ht="28" x14ac:dyDescent="0.35">
      <c r="B21" s="49" t="s">
        <v>285</v>
      </c>
      <c r="C21">
        <f t="shared" si="0"/>
        <v>6.8376000000000012E+24</v>
      </c>
      <c r="D21">
        <v>2.2000000000000003E+21</v>
      </c>
      <c r="E21">
        <v>37</v>
      </c>
      <c r="F21">
        <f t="shared" si="1"/>
        <v>37</v>
      </c>
      <c r="G21">
        <f t="shared" si="2"/>
        <v>37</v>
      </c>
    </row>
    <row r="22" spans="2:7" ht="28" x14ac:dyDescent="0.35">
      <c r="B22" s="49" t="s">
        <v>286</v>
      </c>
      <c r="C22">
        <f t="shared" si="0"/>
        <v>7.0224000000000007E+24</v>
      </c>
      <c r="D22">
        <v>2.2000000000000003E+21</v>
      </c>
      <c r="E22">
        <v>38</v>
      </c>
      <c r="F22">
        <f t="shared" si="1"/>
        <v>38</v>
      </c>
      <c r="G22">
        <f t="shared" si="2"/>
        <v>38</v>
      </c>
    </row>
    <row r="23" spans="2:7" ht="28" x14ac:dyDescent="0.35">
      <c r="B23" s="49" t="s">
        <v>287</v>
      </c>
      <c r="C23">
        <f t="shared" si="0"/>
        <v>5.8800000000000004E+24</v>
      </c>
      <c r="D23">
        <v>2E+21</v>
      </c>
      <c r="E23">
        <v>35</v>
      </c>
      <c r="F23">
        <f t="shared" si="1"/>
        <v>35</v>
      </c>
      <c r="G23">
        <f t="shared" si="2"/>
        <v>35</v>
      </c>
    </row>
    <row r="24" spans="2:7" ht="28" x14ac:dyDescent="0.35">
      <c r="B24" s="49" t="s">
        <v>288</v>
      </c>
      <c r="C24">
        <f t="shared" si="0"/>
        <v>1.092E+24</v>
      </c>
      <c r="D24">
        <v>1E+21</v>
      </c>
      <c r="E24">
        <v>13</v>
      </c>
      <c r="F24">
        <f t="shared" si="1"/>
        <v>13</v>
      </c>
      <c r="G24">
        <f t="shared" si="2"/>
        <v>13</v>
      </c>
    </row>
    <row r="25" spans="2:7" ht="28" x14ac:dyDescent="0.35">
      <c r="B25" s="49" t="s">
        <v>289</v>
      </c>
      <c r="C25">
        <f t="shared" si="0"/>
        <v>1.7052E+24</v>
      </c>
      <c r="D25">
        <v>7E+20</v>
      </c>
      <c r="E25">
        <v>29</v>
      </c>
      <c r="F25">
        <f t="shared" si="1"/>
        <v>29</v>
      </c>
      <c r="G25">
        <f t="shared" si="2"/>
        <v>29</v>
      </c>
    </row>
    <row r="26" spans="2:7" ht="28" x14ac:dyDescent="0.35">
      <c r="B26" s="49" t="s">
        <v>290</v>
      </c>
      <c r="C26">
        <f t="shared" si="0"/>
        <v>2.0663999999999999E+24</v>
      </c>
      <c r="D26">
        <v>3E+20</v>
      </c>
      <c r="E26">
        <v>82</v>
      </c>
      <c r="F26">
        <f t="shared" si="1"/>
        <v>82</v>
      </c>
      <c r="G26">
        <f t="shared" si="2"/>
        <v>82</v>
      </c>
    </row>
    <row r="27" spans="2:7" ht="28" x14ac:dyDescent="0.35">
      <c r="B27" s="49" t="s">
        <v>291</v>
      </c>
      <c r="C27">
        <f t="shared" si="0"/>
        <v>1.2095999999999999E+24</v>
      </c>
      <c r="D27">
        <v>3E+20</v>
      </c>
      <c r="E27">
        <v>48</v>
      </c>
      <c r="F27">
        <f t="shared" si="1"/>
        <v>48</v>
      </c>
      <c r="G27">
        <f t="shared" si="2"/>
        <v>48</v>
      </c>
    </row>
    <row r="28" spans="2:7" ht="28" x14ac:dyDescent="0.35">
      <c r="B28" s="49" t="s">
        <v>292</v>
      </c>
      <c r="C28">
        <f t="shared" si="0"/>
        <v>8.3999999999999992E+22</v>
      </c>
      <c r="D28">
        <v>2E+20</v>
      </c>
      <c r="E28">
        <v>5</v>
      </c>
      <c r="F28">
        <f t="shared" si="1"/>
        <v>5</v>
      </c>
      <c r="G28">
        <f t="shared" si="2"/>
        <v>5</v>
      </c>
    </row>
    <row r="29" spans="2:7" ht="28" x14ac:dyDescent="0.35">
      <c r="B29" s="49" t="s">
        <v>293</v>
      </c>
      <c r="C29">
        <f t="shared" si="0"/>
        <v>2.1000000000000001E+23</v>
      </c>
      <c r="D29">
        <v>1E+20</v>
      </c>
      <c r="E29">
        <v>25</v>
      </c>
      <c r="F29">
        <f t="shared" si="1"/>
        <v>25</v>
      </c>
      <c r="G29">
        <f t="shared" si="2"/>
        <v>25</v>
      </c>
    </row>
    <row r="30" spans="2:7" ht="28" x14ac:dyDescent="0.35">
      <c r="B30" s="49" t="s">
        <v>294</v>
      </c>
      <c r="C30">
        <f t="shared" si="0"/>
        <v>2.3520000000000002E+23</v>
      </c>
      <c r="D30">
        <v>1E+20</v>
      </c>
      <c r="E30">
        <v>28</v>
      </c>
      <c r="F30">
        <f t="shared" si="1"/>
        <v>28</v>
      </c>
      <c r="G30">
        <f t="shared" si="2"/>
        <v>28</v>
      </c>
    </row>
    <row r="31" spans="2:7" ht="28" x14ac:dyDescent="0.35">
      <c r="B31" s="49" t="s">
        <v>295</v>
      </c>
      <c r="C31">
        <f t="shared" si="0"/>
        <v>2.52E+22</v>
      </c>
      <c r="D31">
        <v>1E+20</v>
      </c>
      <c r="E31">
        <v>3</v>
      </c>
      <c r="F31">
        <f t="shared" si="1"/>
        <v>3</v>
      </c>
      <c r="G31">
        <f t="shared" si="2"/>
        <v>3</v>
      </c>
    </row>
    <row r="32" spans="2:7" ht="28" x14ac:dyDescent="0.35">
      <c r="B32" s="49" t="s">
        <v>296</v>
      </c>
      <c r="C32">
        <f t="shared" si="0"/>
        <v>3.7632E+23</v>
      </c>
      <c r="D32">
        <v>8E+19</v>
      </c>
      <c r="E32">
        <v>56</v>
      </c>
      <c r="F32">
        <f t="shared" si="1"/>
        <v>56</v>
      </c>
      <c r="G32">
        <f t="shared" si="2"/>
        <v>56</v>
      </c>
    </row>
    <row r="33" spans="2:7" ht="28" x14ac:dyDescent="0.35">
      <c r="B33" s="49" t="s">
        <v>297</v>
      </c>
      <c r="C33">
        <f t="shared" si="0"/>
        <v>2.2260000000000001E+23</v>
      </c>
      <c r="D33">
        <v>5E+19</v>
      </c>
      <c r="E33">
        <v>53</v>
      </c>
      <c r="F33">
        <f t="shared" si="1"/>
        <v>53</v>
      </c>
      <c r="G33">
        <f t="shared" si="2"/>
        <v>53</v>
      </c>
    </row>
    <row r="34" spans="2:7" ht="28" x14ac:dyDescent="0.35">
      <c r="B34" s="49" t="s">
        <v>298</v>
      </c>
      <c r="C34">
        <f t="shared" si="0"/>
        <v>1.6799999999999998E+23</v>
      </c>
      <c r="D34">
        <v>4E+19</v>
      </c>
      <c r="E34">
        <v>50</v>
      </c>
      <c r="F34">
        <f t="shared" si="1"/>
        <v>50</v>
      </c>
      <c r="G34">
        <f t="shared" si="2"/>
        <v>50</v>
      </c>
    </row>
    <row r="35" spans="2:7" ht="28" x14ac:dyDescent="0.35">
      <c r="B35" s="49" t="s">
        <v>299</v>
      </c>
      <c r="C35">
        <f t="shared" si="0"/>
        <v>1.3272E+23</v>
      </c>
      <c r="D35">
        <v>2E+19</v>
      </c>
      <c r="E35">
        <v>79</v>
      </c>
      <c r="F35">
        <f t="shared" si="1"/>
        <v>79</v>
      </c>
      <c r="G35">
        <f t="shared" si="2"/>
        <v>79</v>
      </c>
    </row>
    <row r="36" spans="2:7" ht="28" x14ac:dyDescent="0.35">
      <c r="B36" s="49" t="s">
        <v>300</v>
      </c>
      <c r="C36">
        <f t="shared" si="0"/>
        <v>6.72E+22</v>
      </c>
      <c r="D36">
        <v>2E+19</v>
      </c>
      <c r="E36">
        <v>40</v>
      </c>
      <c r="F36">
        <f t="shared" si="1"/>
        <v>40</v>
      </c>
      <c r="G36">
        <f t="shared" si="2"/>
        <v>40</v>
      </c>
    </row>
    <row r="37" spans="2:7" ht="28" x14ac:dyDescent="0.35">
      <c r="B37" s="49" t="s">
        <v>301</v>
      </c>
      <c r="C37">
        <f t="shared" si="0"/>
        <v>4.5360000000000004E+22</v>
      </c>
      <c r="D37">
        <v>2E+19</v>
      </c>
      <c r="E37">
        <v>27</v>
      </c>
      <c r="F37">
        <f t="shared" si="1"/>
        <v>27</v>
      </c>
      <c r="G37">
        <f t="shared" si="2"/>
        <v>27</v>
      </c>
    </row>
    <row r="38" spans="2:7" ht="28" x14ac:dyDescent="0.35">
      <c r="B38" s="49" t="s">
        <v>302</v>
      </c>
      <c r="C38">
        <f t="shared" si="0"/>
        <v>3.2339999999999999E+22</v>
      </c>
      <c r="D38">
        <v>7E+18</v>
      </c>
      <c r="E38">
        <v>55</v>
      </c>
      <c r="F38">
        <f t="shared" si="1"/>
        <v>55</v>
      </c>
      <c r="G38">
        <f t="shared" si="2"/>
        <v>55</v>
      </c>
    </row>
    <row r="39" spans="2:7" ht="28" x14ac:dyDescent="0.35">
      <c r="B39" s="49" t="s">
        <v>303</v>
      </c>
      <c r="C39">
        <f t="shared" si="0"/>
        <v>4.032E+22</v>
      </c>
      <c r="D39">
        <v>6E+18</v>
      </c>
      <c r="E39">
        <v>80</v>
      </c>
      <c r="F39">
        <f t="shared" si="1"/>
        <v>80</v>
      </c>
      <c r="G39">
        <f t="shared" si="2"/>
        <v>80</v>
      </c>
    </row>
    <row r="40" spans="2:7" ht="28" x14ac:dyDescent="0.35">
      <c r="B40" s="49" t="s">
        <v>304</v>
      </c>
      <c r="C40">
        <f t="shared" si="0"/>
        <v>1.6632E+22</v>
      </c>
      <c r="D40">
        <v>6E+18</v>
      </c>
      <c r="E40">
        <v>33</v>
      </c>
      <c r="F40">
        <f t="shared" si="1"/>
        <v>33</v>
      </c>
      <c r="G40">
        <f t="shared" si="2"/>
        <v>33</v>
      </c>
    </row>
    <row r="41" spans="2:7" ht="28" x14ac:dyDescent="0.35">
      <c r="B41" s="49" t="s">
        <v>305</v>
      </c>
      <c r="C41">
        <f t="shared" si="0"/>
        <v>1.2096E+22</v>
      </c>
      <c r="D41">
        <v>6E+18</v>
      </c>
      <c r="E41">
        <v>24</v>
      </c>
      <c r="F41">
        <f t="shared" si="1"/>
        <v>24</v>
      </c>
      <c r="G41">
        <f t="shared" si="2"/>
        <v>24</v>
      </c>
    </row>
    <row r="42" spans="2:7" ht="28" x14ac:dyDescent="0.35">
      <c r="B42" s="49" t="s">
        <v>306</v>
      </c>
      <c r="C42">
        <f t="shared" si="0"/>
        <v>1.0584E+22</v>
      </c>
      <c r="D42">
        <v>3E+18</v>
      </c>
      <c r="E42">
        <v>42</v>
      </c>
      <c r="F42">
        <f t="shared" si="1"/>
        <v>42</v>
      </c>
      <c r="G42">
        <f t="shared" si="2"/>
        <v>42</v>
      </c>
    </row>
    <row r="43" spans="2:7" ht="28" x14ac:dyDescent="0.35">
      <c r="B43" s="49" t="s">
        <v>307</v>
      </c>
      <c r="C43">
        <f t="shared" si="0"/>
        <v>8.568E+21</v>
      </c>
      <c r="D43">
        <v>3E+18</v>
      </c>
      <c r="E43">
        <v>34</v>
      </c>
      <c r="F43">
        <f t="shared" si="1"/>
        <v>34</v>
      </c>
      <c r="G43">
        <f t="shared" si="2"/>
        <v>34</v>
      </c>
    </row>
    <row r="44" spans="2:7" ht="28" x14ac:dyDescent="0.35">
      <c r="B44" s="49" t="s">
        <v>308</v>
      </c>
      <c r="C44">
        <f t="shared" si="0"/>
        <v>1.008E+21</v>
      </c>
      <c r="D44">
        <v>3E+18</v>
      </c>
      <c r="E44">
        <v>4</v>
      </c>
      <c r="F44">
        <f t="shared" si="1"/>
        <v>4</v>
      </c>
      <c r="G44">
        <f t="shared" si="2"/>
        <v>4</v>
      </c>
    </row>
    <row r="45" spans="2:7" ht="28" x14ac:dyDescent="0.35">
      <c r="B45" s="49" t="s">
        <v>309</v>
      </c>
      <c r="C45">
        <f t="shared" si="0"/>
        <v>1.5456E+21</v>
      </c>
      <c r="D45">
        <v>8E+17</v>
      </c>
      <c r="E45">
        <v>23</v>
      </c>
      <c r="F45">
        <f t="shared" si="1"/>
        <v>23</v>
      </c>
      <c r="G45">
        <f t="shared" si="2"/>
        <v>23</v>
      </c>
    </row>
    <row r="46" spans="2:7" ht="28" x14ac:dyDescent="0.35">
      <c r="B46" s="49" t="s">
        <v>310</v>
      </c>
      <c r="C46">
        <f t="shared" si="0"/>
        <v>1.5456E+21</v>
      </c>
      <c r="D46">
        <v>2E+17</v>
      </c>
      <c r="E46">
        <v>92</v>
      </c>
      <c r="F46">
        <f t="shared" si="1"/>
        <v>92</v>
      </c>
      <c r="G46">
        <f t="shared" si="2"/>
        <v>92</v>
      </c>
    </row>
    <row r="47" spans="2:7" ht="28" x14ac:dyDescent="0.35">
      <c r="B47" s="49" t="s">
        <v>311</v>
      </c>
      <c r="C47">
        <f t="shared" si="0"/>
        <v>591360000000000</v>
      </c>
      <c r="D47">
        <v>80000000000</v>
      </c>
      <c r="E47">
        <v>88</v>
      </c>
      <c r="F47">
        <f t="shared" si="1"/>
        <v>88</v>
      </c>
      <c r="G47">
        <f t="shared" si="2"/>
        <v>88</v>
      </c>
    </row>
    <row r="48" spans="2:7" x14ac:dyDescent="0.2">
      <c r="C48">
        <f>SUM(C6:C47)</f>
        <v>1.7638742524392001E+30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3AE0-C5A9-D248-BD2D-A053D024CD98}">
  <dimension ref="B2:J49"/>
  <sheetViews>
    <sheetView topLeftCell="A13" zoomScale="110" zoomScaleNormal="110" workbookViewId="0">
      <selection activeCell="B3" sqref="B3"/>
    </sheetView>
  </sheetViews>
  <sheetFormatPr baseColWidth="10" defaultRowHeight="16" x14ac:dyDescent="0.2"/>
  <sheetData>
    <row r="2" spans="2:4" x14ac:dyDescent="0.2">
      <c r="B2" t="s">
        <v>377</v>
      </c>
    </row>
    <row r="3" spans="2:4" x14ac:dyDescent="0.2">
      <c r="B3" t="s">
        <v>376</v>
      </c>
    </row>
    <row r="4" spans="2:4" x14ac:dyDescent="0.2">
      <c r="C4" t="s">
        <v>375</v>
      </c>
    </row>
    <row r="5" spans="2:4" x14ac:dyDescent="0.2">
      <c r="C5" t="s">
        <v>374</v>
      </c>
    </row>
    <row r="8" spans="2:4" x14ac:dyDescent="0.2">
      <c r="B8" t="s">
        <v>373</v>
      </c>
      <c r="C8" t="s">
        <v>372</v>
      </c>
      <c r="D8" t="s">
        <v>371</v>
      </c>
    </row>
    <row r="9" spans="2:4" x14ac:dyDescent="0.2">
      <c r="B9">
        <v>1</v>
      </c>
      <c r="C9" t="s">
        <v>370</v>
      </c>
      <c r="D9" t="s">
        <v>365</v>
      </c>
    </row>
    <row r="10" spans="2:4" x14ac:dyDescent="0.2">
      <c r="B10">
        <v>2</v>
      </c>
      <c r="C10" t="s">
        <v>369</v>
      </c>
      <c r="D10" t="s">
        <v>363</v>
      </c>
    </row>
    <row r="11" spans="2:4" x14ac:dyDescent="0.2">
      <c r="B11">
        <v>3</v>
      </c>
      <c r="C11" t="s">
        <v>368</v>
      </c>
      <c r="D11" t="s">
        <v>365</v>
      </c>
    </row>
    <row r="12" spans="2:4" x14ac:dyDescent="0.2">
      <c r="B12">
        <v>4</v>
      </c>
      <c r="C12" t="s">
        <v>367</v>
      </c>
      <c r="D12" t="s">
        <v>363</v>
      </c>
    </row>
    <row r="13" spans="2:4" x14ac:dyDescent="0.2">
      <c r="B13">
        <v>5</v>
      </c>
      <c r="C13" t="s">
        <v>366</v>
      </c>
      <c r="D13" t="s">
        <v>365</v>
      </c>
    </row>
    <row r="14" spans="2:4" x14ac:dyDescent="0.2">
      <c r="B14">
        <v>6</v>
      </c>
      <c r="C14" t="s">
        <v>364</v>
      </c>
      <c r="D14" t="s">
        <v>363</v>
      </c>
    </row>
    <row r="19" spans="2:10" x14ac:dyDescent="0.2">
      <c r="B19" t="s">
        <v>362</v>
      </c>
    </row>
    <row r="21" spans="2:10" x14ac:dyDescent="0.2">
      <c r="C21" s="24" t="s">
        <v>361</v>
      </c>
      <c r="D21" s="24" t="s">
        <v>360</v>
      </c>
      <c r="E21" s="24" t="s">
        <v>359</v>
      </c>
      <c r="F21" s="24" t="s">
        <v>358</v>
      </c>
      <c r="G21" s="24" t="s">
        <v>357</v>
      </c>
      <c r="H21" s="24" t="s">
        <v>356</v>
      </c>
      <c r="J21" s="24" t="s">
        <v>355</v>
      </c>
    </row>
    <row r="22" spans="2:10" x14ac:dyDescent="0.2">
      <c r="C22" s="24">
        <v>1</v>
      </c>
      <c r="D22" s="24">
        <v>2</v>
      </c>
      <c r="E22" s="24">
        <v>3</v>
      </c>
      <c r="F22" s="24">
        <v>4</v>
      </c>
      <c r="G22" s="24">
        <v>5</v>
      </c>
      <c r="H22" s="24">
        <v>6</v>
      </c>
    </row>
    <row r="23" spans="2:10" x14ac:dyDescent="0.2">
      <c r="C23" s="24">
        <v>1</v>
      </c>
      <c r="D23" s="24">
        <v>2</v>
      </c>
      <c r="E23" s="24">
        <v>3</v>
      </c>
      <c r="F23" s="24">
        <v>4</v>
      </c>
      <c r="G23" s="24">
        <v>6</v>
      </c>
      <c r="H23" s="24">
        <v>5</v>
      </c>
    </row>
    <row r="24" spans="2:10" x14ac:dyDescent="0.2">
      <c r="C24" s="24">
        <v>1</v>
      </c>
      <c r="D24" s="24">
        <v>2</v>
      </c>
      <c r="E24" s="24">
        <v>4</v>
      </c>
      <c r="F24" s="24">
        <v>3</v>
      </c>
      <c r="G24" s="24">
        <v>5</v>
      </c>
      <c r="H24" s="24">
        <v>6</v>
      </c>
    </row>
    <row r="25" spans="2:10" x14ac:dyDescent="0.2">
      <c r="C25" s="24">
        <v>1</v>
      </c>
      <c r="D25" s="24">
        <v>2</v>
      </c>
      <c r="E25" s="24">
        <v>4</v>
      </c>
      <c r="F25" s="24">
        <v>3</v>
      </c>
      <c r="G25" s="24">
        <v>6</v>
      </c>
      <c r="H25" s="24">
        <v>5</v>
      </c>
    </row>
    <row r="26" spans="2:10" x14ac:dyDescent="0.2">
      <c r="C26" s="24">
        <v>2</v>
      </c>
      <c r="D26" s="24">
        <v>1</v>
      </c>
      <c r="E26" s="24">
        <v>3</v>
      </c>
      <c r="F26" s="24">
        <v>4</v>
      </c>
      <c r="G26" s="24">
        <v>5</v>
      </c>
      <c r="H26" s="24">
        <v>6</v>
      </c>
    </row>
    <row r="27" spans="2:10" x14ac:dyDescent="0.2">
      <c r="C27" s="24">
        <v>2</v>
      </c>
      <c r="D27" s="24">
        <v>1</v>
      </c>
      <c r="E27" s="24">
        <v>3</v>
      </c>
      <c r="F27" s="24">
        <v>4</v>
      </c>
      <c r="G27" s="24">
        <v>6</v>
      </c>
      <c r="H27" s="24">
        <v>5</v>
      </c>
    </row>
    <row r="28" spans="2:10" x14ac:dyDescent="0.2">
      <c r="C28" s="24">
        <v>2</v>
      </c>
      <c r="D28" s="24">
        <v>1</v>
      </c>
      <c r="E28" s="24">
        <v>4</v>
      </c>
      <c r="F28" s="24">
        <v>3</v>
      </c>
      <c r="G28" s="24">
        <v>5</v>
      </c>
      <c r="H28" s="24">
        <v>6</v>
      </c>
    </row>
    <row r="29" spans="2:10" x14ac:dyDescent="0.2">
      <c r="C29" s="24">
        <v>2</v>
      </c>
      <c r="D29" s="24">
        <v>1</v>
      </c>
      <c r="E29" s="24">
        <v>4</v>
      </c>
      <c r="F29" s="24">
        <v>3</v>
      </c>
      <c r="G29" s="24">
        <v>6</v>
      </c>
      <c r="H29" s="24">
        <v>5</v>
      </c>
    </row>
    <row r="31" spans="2:10" x14ac:dyDescent="0.2">
      <c r="C31" s="24" t="str">
        <f t="shared" ref="C31:H38" si="0">VLOOKUP(C22,$B$8:$D$14,3)</f>
        <v>+</v>
      </c>
      <c r="D31" s="24" t="str">
        <f t="shared" si="0"/>
        <v>-</v>
      </c>
      <c r="E31" s="24" t="str">
        <f t="shared" si="0"/>
        <v>+</v>
      </c>
      <c r="F31" s="24" t="str">
        <f t="shared" si="0"/>
        <v>-</v>
      </c>
      <c r="G31" s="24" t="str">
        <f t="shared" si="0"/>
        <v>+</v>
      </c>
      <c r="H31" s="24" t="str">
        <f t="shared" si="0"/>
        <v>-</v>
      </c>
      <c r="I31" t="s">
        <v>354</v>
      </c>
    </row>
    <row r="32" spans="2:10" x14ac:dyDescent="0.2">
      <c r="C32" s="24" t="str">
        <f t="shared" si="0"/>
        <v>+</v>
      </c>
      <c r="D32" s="24" t="str">
        <f t="shared" si="0"/>
        <v>-</v>
      </c>
      <c r="E32" s="24" t="str">
        <f t="shared" si="0"/>
        <v>+</v>
      </c>
      <c r="F32" s="24" t="str">
        <f t="shared" si="0"/>
        <v>-</v>
      </c>
      <c r="G32" s="24" t="str">
        <f t="shared" si="0"/>
        <v>-</v>
      </c>
      <c r="H32" s="24" t="str">
        <f t="shared" si="0"/>
        <v>+</v>
      </c>
      <c r="I32" t="s">
        <v>353</v>
      </c>
    </row>
    <row r="33" spans="3:9" x14ac:dyDescent="0.2">
      <c r="C33" s="24" t="str">
        <f t="shared" si="0"/>
        <v>+</v>
      </c>
      <c r="D33" s="24" t="str">
        <f t="shared" si="0"/>
        <v>-</v>
      </c>
      <c r="E33" s="24" t="str">
        <f t="shared" si="0"/>
        <v>-</v>
      </c>
      <c r="F33" s="24" t="str">
        <f t="shared" si="0"/>
        <v>+</v>
      </c>
      <c r="G33" s="24" t="str">
        <f t="shared" si="0"/>
        <v>+</v>
      </c>
      <c r="H33" s="24" t="str">
        <f t="shared" si="0"/>
        <v>-</v>
      </c>
      <c r="I33" t="s">
        <v>352</v>
      </c>
    </row>
    <row r="34" spans="3:9" x14ac:dyDescent="0.2">
      <c r="C34" s="24" t="str">
        <f t="shared" si="0"/>
        <v>+</v>
      </c>
      <c r="D34" s="24" t="str">
        <f t="shared" si="0"/>
        <v>-</v>
      </c>
      <c r="E34" s="24" t="str">
        <f t="shared" si="0"/>
        <v>-</v>
      </c>
      <c r="F34" s="24" t="str">
        <f t="shared" si="0"/>
        <v>+</v>
      </c>
      <c r="G34" s="24" t="str">
        <f t="shared" si="0"/>
        <v>-</v>
      </c>
      <c r="H34" s="24" t="str">
        <f t="shared" si="0"/>
        <v>+</v>
      </c>
      <c r="I34" t="s">
        <v>351</v>
      </c>
    </row>
    <row r="35" spans="3:9" x14ac:dyDescent="0.2">
      <c r="C35" s="24" t="str">
        <f t="shared" si="0"/>
        <v>-</v>
      </c>
      <c r="D35" s="24" t="str">
        <f t="shared" si="0"/>
        <v>+</v>
      </c>
      <c r="E35" s="24" t="str">
        <f t="shared" si="0"/>
        <v>+</v>
      </c>
      <c r="F35" s="24" t="str">
        <f t="shared" si="0"/>
        <v>-</v>
      </c>
      <c r="G35" s="24" t="str">
        <f t="shared" si="0"/>
        <v>+</v>
      </c>
      <c r="H35" s="24" t="str">
        <f t="shared" si="0"/>
        <v>-</v>
      </c>
      <c r="I35" t="s">
        <v>350</v>
      </c>
    </row>
    <row r="36" spans="3:9" x14ac:dyDescent="0.2">
      <c r="C36" s="24" t="str">
        <f t="shared" si="0"/>
        <v>-</v>
      </c>
      <c r="D36" s="24" t="str">
        <f t="shared" si="0"/>
        <v>+</v>
      </c>
      <c r="E36" s="24" t="str">
        <f t="shared" si="0"/>
        <v>+</v>
      </c>
      <c r="F36" s="24" t="str">
        <f t="shared" si="0"/>
        <v>-</v>
      </c>
      <c r="G36" s="24" t="str">
        <f t="shared" si="0"/>
        <v>-</v>
      </c>
      <c r="H36" s="24" t="str">
        <f t="shared" si="0"/>
        <v>+</v>
      </c>
    </row>
    <row r="37" spans="3:9" x14ac:dyDescent="0.2">
      <c r="C37" s="24" t="str">
        <f t="shared" si="0"/>
        <v>-</v>
      </c>
      <c r="D37" s="24" t="str">
        <f t="shared" si="0"/>
        <v>+</v>
      </c>
      <c r="E37" s="24" t="str">
        <f t="shared" si="0"/>
        <v>-</v>
      </c>
      <c r="F37" s="24" t="str">
        <f t="shared" si="0"/>
        <v>+</v>
      </c>
      <c r="G37" s="24" t="str">
        <f t="shared" si="0"/>
        <v>+</v>
      </c>
      <c r="H37" s="24" t="str">
        <f t="shared" si="0"/>
        <v>-</v>
      </c>
    </row>
    <row r="38" spans="3:9" x14ac:dyDescent="0.2">
      <c r="C38" s="24" t="str">
        <f t="shared" si="0"/>
        <v>-</v>
      </c>
      <c r="D38" s="24" t="str">
        <f t="shared" si="0"/>
        <v>+</v>
      </c>
      <c r="E38" s="24" t="str">
        <f t="shared" si="0"/>
        <v>-</v>
      </c>
      <c r="F38" s="24" t="str">
        <f t="shared" si="0"/>
        <v>+</v>
      </c>
      <c r="G38" s="24" t="str">
        <f t="shared" si="0"/>
        <v>-</v>
      </c>
      <c r="H38" s="24" t="str">
        <f t="shared" si="0"/>
        <v>+</v>
      </c>
    </row>
    <row r="40" spans="3:9" x14ac:dyDescent="0.2">
      <c r="C40" t="s">
        <v>349</v>
      </c>
    </row>
    <row r="41" spans="3:9" x14ac:dyDescent="0.2">
      <c r="C41" t="s">
        <v>348</v>
      </c>
      <c r="E41" t="s">
        <v>348</v>
      </c>
      <c r="F41" t="s">
        <v>347</v>
      </c>
      <c r="G41" t="s">
        <v>348</v>
      </c>
    </row>
    <row r="42" spans="3:9" x14ac:dyDescent="0.2">
      <c r="C42" t="s">
        <v>347</v>
      </c>
      <c r="E42">
        <v>0</v>
      </c>
      <c r="F42">
        <v>0</v>
      </c>
      <c r="G42">
        <v>0</v>
      </c>
    </row>
    <row r="43" spans="3:9" x14ac:dyDescent="0.2">
      <c r="C43" t="s">
        <v>346</v>
      </c>
      <c r="E43">
        <v>0</v>
      </c>
      <c r="F43">
        <v>0</v>
      </c>
      <c r="G43">
        <v>1</v>
      </c>
    </row>
    <row r="44" spans="3:9" x14ac:dyDescent="0.2">
      <c r="E44">
        <v>0</v>
      </c>
      <c r="F44">
        <v>1</v>
      </c>
      <c r="G44">
        <v>0</v>
      </c>
    </row>
    <row r="45" spans="3:9" x14ac:dyDescent="0.2">
      <c r="E45">
        <v>0</v>
      </c>
      <c r="F45">
        <v>1</v>
      </c>
      <c r="G45">
        <v>1</v>
      </c>
    </row>
    <row r="46" spans="3:9" x14ac:dyDescent="0.2">
      <c r="E46">
        <v>1</v>
      </c>
      <c r="F46">
        <v>0</v>
      </c>
      <c r="G46">
        <v>0</v>
      </c>
    </row>
    <row r="47" spans="3:9" x14ac:dyDescent="0.2">
      <c r="E47">
        <v>1</v>
      </c>
      <c r="F47">
        <v>0</v>
      </c>
      <c r="G47">
        <v>1</v>
      </c>
    </row>
    <row r="48" spans="3:9" x14ac:dyDescent="0.2">
      <c r="E48">
        <v>1</v>
      </c>
      <c r="F48">
        <v>1</v>
      </c>
      <c r="G48">
        <v>0</v>
      </c>
    </row>
    <row r="49" spans="5:7" x14ac:dyDescent="0.2">
      <c r="E49">
        <v>1</v>
      </c>
      <c r="F49">
        <v>1</v>
      </c>
      <c r="G4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80D1-11AD-6F47-8575-7035F6D8288F}">
  <dimension ref="B2:V23"/>
  <sheetViews>
    <sheetView zoomScale="170" zoomScaleNormal="170" workbookViewId="0">
      <selection activeCell="AG14" sqref="AG14"/>
    </sheetView>
  </sheetViews>
  <sheetFormatPr baseColWidth="10" defaultRowHeight="16" x14ac:dyDescent="0.2"/>
  <cols>
    <col min="1" max="1" width="3.1640625" customWidth="1"/>
    <col min="2" max="22" width="2.6640625" customWidth="1"/>
    <col min="23" max="54" width="3.33203125" customWidth="1"/>
  </cols>
  <sheetData>
    <row r="2" spans="2:22" x14ac:dyDescent="0.2">
      <c r="B2" s="102">
        <v>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4" t="s">
        <v>379</v>
      </c>
    </row>
    <row r="3" spans="2:22" x14ac:dyDescent="0.2">
      <c r="B3" s="103"/>
      <c r="C3" s="105">
        <f t="shared" ref="C3:L12" si="0">1/(POWER(SQRT(POWER(ROW(C3) -ROW($B$2),2) + POWER(COLUMN(C3)-COLUMN($B$2),2)),2))+1/(POWER(SQRT(POWER(-ROW(C3) +ROW($V$23),2) + POWER(-COLUMN(C3)+COLUMN($V$23),2)),2))</f>
        <v>0.5013140604467804</v>
      </c>
      <c r="D3" s="105">
        <f t="shared" si="0"/>
        <v>0.20138121546961321</v>
      </c>
      <c r="E3" s="105">
        <f t="shared" si="0"/>
        <v>0.10145137880986935</v>
      </c>
      <c r="F3" s="105">
        <f t="shared" si="0"/>
        <v>6.0347919655667145E-2</v>
      </c>
      <c r="G3" s="105">
        <f t="shared" si="0"/>
        <v>4.0061538461538461E-2</v>
      </c>
      <c r="H3" s="105">
        <f t="shared" si="0"/>
        <v>2.8704879376020322E-2</v>
      </c>
      <c r="I3" s="105">
        <f t="shared" si="0"/>
        <v>2.1757469244288223E-2</v>
      </c>
      <c r="J3" s="105">
        <f t="shared" si="0"/>
        <v>1.7222850678733033E-2</v>
      </c>
      <c r="K3" s="105">
        <f t="shared" si="0"/>
        <v>1.4114507747764616E-2</v>
      </c>
      <c r="L3" s="105">
        <f t="shared" si="0"/>
        <v>1.1900990099009901E-2</v>
      </c>
      <c r="M3" s="105">
        <f t="shared" ref="M3:U12" si="1">1/(POWER(SQRT(POWER(ROW(M3) -ROW($B$2),2) + POWER(COLUMN(M3)-COLUMN($B$2),2)),2))+1/(POWER(SQRT(POWER(-ROW(M3) +ROW($V$23),2) + POWER(-COLUMN(M3)+COLUMN($V$23),2)),2))</f>
        <v>1.0275723390477488E-2</v>
      </c>
      <c r="N3" s="105">
        <f t="shared" si="1"/>
        <v>9.0517241379310352E-3</v>
      </c>
      <c r="O3" s="105">
        <f t="shared" si="1"/>
        <v>8.1095244333813689E-3</v>
      </c>
      <c r="P3" s="105">
        <f t="shared" si="1"/>
        <v>7.3697201136310713E-3</v>
      </c>
      <c r="Q3" s="105">
        <f t="shared" si="1"/>
        <v>6.7777199375325349E-3</v>
      </c>
      <c r="R3" s="105">
        <f t="shared" si="1"/>
        <v>6.2948967375037407E-3</v>
      </c>
      <c r="S3" s="105">
        <f t="shared" si="1"/>
        <v>5.8932636371300893E-3</v>
      </c>
      <c r="T3" s="105">
        <f t="shared" si="1"/>
        <v>5.5521706016755518E-3</v>
      </c>
      <c r="U3" s="105">
        <f t="shared" si="1"/>
        <v>5.2561965252614319E-3</v>
      </c>
      <c r="V3" s="103"/>
    </row>
    <row r="4" spans="2:22" x14ac:dyDescent="0.2">
      <c r="B4" s="103"/>
      <c r="C4" s="105">
        <f t="shared" si="0"/>
        <v>0.20138504155124648</v>
      </c>
      <c r="D4" s="105">
        <f t="shared" si="0"/>
        <v>0.1264598540145985</v>
      </c>
      <c r="E4" s="105">
        <f t="shared" si="0"/>
        <v>7.8461538461538471E-2</v>
      </c>
      <c r="F4" s="105">
        <f t="shared" si="0"/>
        <v>5.1620745542949743E-2</v>
      </c>
      <c r="G4" s="105">
        <f t="shared" si="0"/>
        <v>3.6189243262327885E-2</v>
      </c>
      <c r="H4" s="105">
        <f t="shared" si="0"/>
        <v>2.6795332136445235E-2</v>
      </c>
      <c r="I4" s="105">
        <f t="shared" si="0"/>
        <v>2.0754716981132074E-2</v>
      </c>
      <c r="J4" s="105">
        <f t="shared" si="0"/>
        <v>1.6686080372743155E-2</v>
      </c>
      <c r="K4" s="105">
        <f t="shared" si="0"/>
        <v>1.3839394679033439E-2</v>
      </c>
      <c r="L4" s="105">
        <f t="shared" si="0"/>
        <v>1.1784582012347739E-2</v>
      </c>
      <c r="M4" s="105">
        <f t="shared" si="1"/>
        <v>1.0262443438914026E-2</v>
      </c>
      <c r="N4" s="105">
        <f t="shared" si="1"/>
        <v>9.109697933227346E-3</v>
      </c>
      <c r="O4" s="105">
        <f t="shared" si="1"/>
        <v>8.2193712110531503E-3</v>
      </c>
      <c r="P4" s="105">
        <f t="shared" si="1"/>
        <v>7.5188916876574299E-3</v>
      </c>
      <c r="Q4" s="105">
        <f t="shared" si="1"/>
        <v>6.9574858022037698E-3</v>
      </c>
      <c r="R4" s="105">
        <f t="shared" si="1"/>
        <v>6.4986737400530509E-3</v>
      </c>
      <c r="S4" s="105">
        <f t="shared" si="1"/>
        <v>6.1156719859791538E-3</v>
      </c>
      <c r="T4" s="105">
        <f t="shared" si="1"/>
        <v>5.7885065152021384E-3</v>
      </c>
      <c r="U4" s="105">
        <f t="shared" si="1"/>
        <v>5.5021569666237804E-3</v>
      </c>
      <c r="V4" s="103"/>
    </row>
    <row r="5" spans="2:22" x14ac:dyDescent="0.2">
      <c r="B5" s="103"/>
      <c r="C5" s="105">
        <f t="shared" si="0"/>
        <v>0.10145985401459852</v>
      </c>
      <c r="D5" s="105">
        <f t="shared" si="0"/>
        <v>7.8466286799620144E-2</v>
      </c>
      <c r="E5" s="105">
        <f t="shared" si="0"/>
        <v>5.7186876925865521E-2</v>
      </c>
      <c r="F5" s="105">
        <f t="shared" si="0"/>
        <v>4.172413793103448E-2</v>
      </c>
      <c r="G5" s="105">
        <f t="shared" si="0"/>
        <v>3.1233258330654667E-2</v>
      </c>
      <c r="H5" s="105">
        <f t="shared" si="0"/>
        <v>2.4145299145299143E-2</v>
      </c>
      <c r="I5" s="105">
        <f t="shared" si="0"/>
        <v>1.9269776876267745E-2</v>
      </c>
      <c r="J5" s="105">
        <f t="shared" si="0"/>
        <v>1.583538227373844E-2</v>
      </c>
      <c r="K5" s="105">
        <f t="shared" si="0"/>
        <v>1.3358302122347065E-2</v>
      </c>
      <c r="L5" s="105">
        <f t="shared" si="0"/>
        <v>1.1532802492643239E-2</v>
      </c>
      <c r="M5" s="105">
        <f t="shared" si="1"/>
        <v>1.0161443494776828E-2</v>
      </c>
      <c r="N5" s="105">
        <f t="shared" si="1"/>
        <v>9.113267300047169E-3</v>
      </c>
      <c r="O5" s="105">
        <f t="shared" si="1"/>
        <v>8.2989426755429706E-3</v>
      </c>
      <c r="P5" s="105">
        <f t="shared" si="1"/>
        <v>7.6558265582655823E-3</v>
      </c>
      <c r="Q5" s="105">
        <f t="shared" si="1"/>
        <v>7.1388337863982554E-3</v>
      </c>
      <c r="R5" s="105">
        <f t="shared" si="1"/>
        <v>6.7147613762486126E-3</v>
      </c>
      <c r="S5" s="105">
        <f t="shared" si="1"/>
        <v>6.3587077009895805E-3</v>
      </c>
      <c r="T5" s="105">
        <f t="shared" si="1"/>
        <v>6.0517834908078803E-3</v>
      </c>
      <c r="U5" s="105">
        <f t="shared" si="1"/>
        <v>5.7796257796257806E-3</v>
      </c>
      <c r="V5" s="103"/>
    </row>
    <row r="6" spans="2:22" x14ac:dyDescent="0.2">
      <c r="B6" s="103"/>
      <c r="C6" s="105">
        <f t="shared" si="0"/>
        <v>6.0361990950226242E-2</v>
      </c>
      <c r="D6" s="105">
        <f t="shared" si="0"/>
        <v>5.1631321370309943E-2</v>
      </c>
      <c r="E6" s="105">
        <f t="shared" si="0"/>
        <v>4.1730103806228373E-2</v>
      </c>
      <c r="F6" s="105">
        <f t="shared" si="0"/>
        <v>3.3084862385321094E-2</v>
      </c>
      <c r="G6" s="105">
        <f t="shared" si="0"/>
        <v>2.6335769194267819E-2</v>
      </c>
      <c r="H6" s="105">
        <f t="shared" si="0"/>
        <v>2.1292624900872324E-2</v>
      </c>
      <c r="I6" s="105">
        <f t="shared" si="0"/>
        <v>1.7568021498152505E-2</v>
      </c>
      <c r="J6" s="105">
        <f t="shared" si="0"/>
        <v>1.4809468822170897E-2</v>
      </c>
      <c r="K6" s="105">
        <f t="shared" si="0"/>
        <v>1.2748302740759368E-2</v>
      </c>
      <c r="L6" s="105">
        <f t="shared" si="0"/>
        <v>1.1191383742576014E-2</v>
      </c>
      <c r="M6" s="105">
        <f t="shared" si="1"/>
        <v>1.0001972775695403E-2</v>
      </c>
      <c r="N6" s="105">
        <f t="shared" si="1"/>
        <v>9.082861189801698E-3</v>
      </c>
      <c r="O6" s="105">
        <f t="shared" si="1"/>
        <v>8.3639852870622099E-3</v>
      </c>
      <c r="P6" s="105">
        <f t="shared" si="1"/>
        <v>7.7939042089985484E-3</v>
      </c>
      <c r="Q6" s="105">
        <f t="shared" si="1"/>
        <v>7.3340909691571744E-3</v>
      </c>
      <c r="R6" s="105">
        <f t="shared" si="1"/>
        <v>6.955159112825458E-3</v>
      </c>
      <c r="S6" s="105">
        <f t="shared" si="1"/>
        <v>6.6343932225767415E-3</v>
      </c>
      <c r="T6" s="105">
        <f t="shared" si="1"/>
        <v>6.3541457538646862E-3</v>
      </c>
      <c r="U6" s="105">
        <f t="shared" si="1"/>
        <v>6.1007957559681691E-3</v>
      </c>
      <c r="V6" s="103"/>
    </row>
    <row r="7" spans="2:22" x14ac:dyDescent="0.2">
      <c r="B7" s="103"/>
      <c r="C7" s="105">
        <f t="shared" si="0"/>
        <v>4.0082284004488218E-2</v>
      </c>
      <c r="D7" s="105">
        <f t="shared" si="0"/>
        <v>3.6206896551724141E-2</v>
      </c>
      <c r="E7" s="105">
        <f t="shared" si="0"/>
        <v>3.1246627091203454E-2</v>
      </c>
      <c r="F7" s="105">
        <f t="shared" si="0"/>
        <v>2.6343368902439025E-2</v>
      </c>
      <c r="G7" s="105">
        <f t="shared" si="0"/>
        <v>2.2079002079002076E-2</v>
      </c>
      <c r="H7" s="105">
        <f t="shared" si="0"/>
        <v>1.8605832003481794E-2</v>
      </c>
      <c r="I7" s="105">
        <f t="shared" si="0"/>
        <v>1.5866454689984103E-2</v>
      </c>
      <c r="J7" s="105">
        <f t="shared" si="0"/>
        <v>1.3735955056179777E-2</v>
      </c>
      <c r="K7" s="105">
        <f t="shared" si="0"/>
        <v>1.2086482158050145E-2</v>
      </c>
      <c r="L7" s="105">
        <f t="shared" si="0"/>
        <v>1.0808988764044942E-2</v>
      </c>
      <c r="M7" s="105">
        <f t="shared" si="1"/>
        <v>9.8166741189382543E-3</v>
      </c>
      <c r="N7" s="105">
        <f t="shared" si="1"/>
        <v>9.0421597633136078E-3</v>
      </c>
      <c r="O7" s="105">
        <f t="shared" si="1"/>
        <v>8.4333276998478958E-3</v>
      </c>
      <c r="P7" s="105">
        <f t="shared" si="1"/>
        <v>7.9495444120746307E-3</v>
      </c>
      <c r="Q7" s="105">
        <f t="shared" si="1"/>
        <v>7.5587188612099634E-3</v>
      </c>
      <c r="R7" s="105">
        <f t="shared" si="1"/>
        <v>7.2351894494452583E-3</v>
      </c>
      <c r="S7" s="105">
        <f t="shared" si="1"/>
        <v>6.9582982814565559E-3</v>
      </c>
      <c r="T7" s="105">
        <f t="shared" si="1"/>
        <v>6.7114833590478287E-3</v>
      </c>
      <c r="U7" s="105">
        <f t="shared" si="1"/>
        <v>6.4817241587871209E-3</v>
      </c>
      <c r="V7" s="103"/>
    </row>
    <row r="8" spans="2:22" x14ac:dyDescent="0.2">
      <c r="B8" s="103"/>
      <c r="C8" s="105">
        <f t="shared" si="0"/>
        <v>2.8733511668665258E-2</v>
      </c>
      <c r="D8" s="105">
        <f t="shared" si="0"/>
        <v>2.6821493624772309E-2</v>
      </c>
      <c r="E8" s="105">
        <f t="shared" si="0"/>
        <v>2.4167747514051013E-2</v>
      </c>
      <c r="F8" s="105">
        <f t="shared" si="0"/>
        <v>2.1309771309771311E-2</v>
      </c>
      <c r="G8" s="105">
        <f t="shared" si="0"/>
        <v>1.8615664845173043E-2</v>
      </c>
      <c r="H8" s="105">
        <f t="shared" si="0"/>
        <v>1.6264185801002907E-2</v>
      </c>
      <c r="I8" s="105">
        <f t="shared" si="0"/>
        <v>1.4302776948342789E-2</v>
      </c>
      <c r="J8" s="105">
        <f t="shared" si="0"/>
        <v>1.2710027100271002E-2</v>
      </c>
      <c r="K8" s="105">
        <f t="shared" si="0"/>
        <v>1.1437181957413171E-2</v>
      </c>
      <c r="L8" s="105">
        <f t="shared" si="0"/>
        <v>1.0429864253393664E-2</v>
      </c>
      <c r="M8" s="105">
        <f t="shared" si="1"/>
        <v>9.6374006078015079E-3</v>
      </c>
      <c r="N8" s="105">
        <f t="shared" si="1"/>
        <v>9.0157631680123015E-3</v>
      </c>
      <c r="O8" s="105">
        <f t="shared" si="1"/>
        <v>8.5276838169841551E-3</v>
      </c>
      <c r="P8" s="105">
        <f t="shared" si="1"/>
        <v>8.141762452107279E-3</v>
      </c>
      <c r="Q8" s="105">
        <f t="shared" si="1"/>
        <v>7.831417624521074E-3</v>
      </c>
      <c r="R8" s="105">
        <f t="shared" si="1"/>
        <v>7.574035127607571E-3</v>
      </c>
      <c r="S8" s="105">
        <f t="shared" si="1"/>
        <v>7.35042735042735E-3</v>
      </c>
      <c r="T8" s="105">
        <f t="shared" si="1"/>
        <v>7.1445900048520139E-3</v>
      </c>
      <c r="U8" s="105">
        <f t="shared" si="1"/>
        <v>6.9436704487193775E-3</v>
      </c>
      <c r="V8" s="103"/>
    </row>
    <row r="9" spans="2:22" x14ac:dyDescent="0.2">
      <c r="B9" s="103"/>
      <c r="C9" s="105">
        <f t="shared" si="0"/>
        <v>2.1795332136445238E-2</v>
      </c>
      <c r="D9" s="105">
        <f t="shared" si="0"/>
        <v>2.0791001451378809E-2</v>
      </c>
      <c r="E9" s="105">
        <f t="shared" si="0"/>
        <v>1.9303234980447916E-2</v>
      </c>
      <c r="F9" s="105">
        <f t="shared" si="0"/>
        <v>1.7597004765146359E-2</v>
      </c>
      <c r="G9" s="105">
        <f t="shared" si="0"/>
        <v>1.5888810425627529E-2</v>
      </c>
      <c r="H9" s="105">
        <f t="shared" si="0"/>
        <v>1.4315726290516206E-2</v>
      </c>
      <c r="I9" s="105">
        <f t="shared" si="0"/>
        <v>1.2943807660050322E-2</v>
      </c>
      <c r="J9" s="105">
        <f t="shared" si="0"/>
        <v>1.1790733992712127E-2</v>
      </c>
      <c r="K9" s="105">
        <f t="shared" si="0"/>
        <v>1.0846881824799806E-2</v>
      </c>
      <c r="L9" s="105">
        <f t="shared" si="0"/>
        <v>1.0089787774351534E-2</v>
      </c>
      <c r="M9" s="105">
        <f t="shared" si="1"/>
        <v>9.4924612444255672E-3</v>
      </c>
      <c r="N9" s="105">
        <f t="shared" si="1"/>
        <v>9.0275009964129148E-3</v>
      </c>
      <c r="O9" s="105">
        <f t="shared" si="1"/>
        <v>8.6687886163639774E-3</v>
      </c>
      <c r="P9" s="105">
        <f t="shared" si="1"/>
        <v>8.39197748064743E-3</v>
      </c>
      <c r="Q9" s="105">
        <f t="shared" si="1"/>
        <v>8.1745219143244049E-3</v>
      </c>
      <c r="R9" s="105">
        <f t="shared" si="1"/>
        <v>7.9956696566656354E-3</v>
      </c>
      <c r="S9" s="105">
        <f t="shared" si="1"/>
        <v>7.83662866214461E-3</v>
      </c>
      <c r="T9" s="105">
        <f t="shared" si="1"/>
        <v>7.6809651474530824E-3</v>
      </c>
      <c r="U9" s="105">
        <f t="shared" si="1"/>
        <v>7.5151665222235979E-3</v>
      </c>
      <c r="V9" s="103"/>
    </row>
    <row r="10" spans="2:22" x14ac:dyDescent="0.2">
      <c r="B10" s="103"/>
      <c r="C10" s="105">
        <f t="shared" si="0"/>
        <v>1.7271407837445577E-2</v>
      </c>
      <c r="D10" s="105">
        <f t="shared" si="0"/>
        <v>1.6734279918864097E-2</v>
      </c>
      <c r="E10" s="105">
        <f t="shared" si="0"/>
        <v>1.5882036250523424E-2</v>
      </c>
      <c r="F10" s="105">
        <f t="shared" si="0"/>
        <v>1.4852941176470586E-2</v>
      </c>
      <c r="G10" s="105">
        <f t="shared" si="0"/>
        <v>1.3774026122169623E-2</v>
      </c>
      <c r="H10" s="105">
        <f t="shared" si="0"/>
        <v>1.2739726027397261E-2</v>
      </c>
      <c r="I10" s="105">
        <f t="shared" si="0"/>
        <v>1.1808137403780696E-2</v>
      </c>
      <c r="J10" s="105">
        <f t="shared" si="0"/>
        <v>1.1007388178913738E-2</v>
      </c>
      <c r="K10" s="105">
        <f t="shared" si="0"/>
        <v>1.0344827586206896E-2</v>
      </c>
      <c r="L10" s="105">
        <f t="shared" si="0"/>
        <v>9.8150330945688639E-3</v>
      </c>
      <c r="M10" s="105">
        <f t="shared" si="1"/>
        <v>9.4054054054054058E-3</v>
      </c>
      <c r="N10" s="105">
        <f t="shared" si="1"/>
        <v>9.0995378012545397E-3</v>
      </c>
      <c r="O10" s="105">
        <f t="shared" si="1"/>
        <v>8.8790014568649843E-3</v>
      </c>
      <c r="P10" s="105">
        <f t="shared" si="1"/>
        <v>8.7242026266416521E-3</v>
      </c>
      <c r="Q10" s="105">
        <f t="shared" si="1"/>
        <v>8.6148467877144794E-3</v>
      </c>
      <c r="R10" s="105">
        <f t="shared" si="1"/>
        <v>8.530405405405405E-3</v>
      </c>
      <c r="S10" s="105">
        <f t="shared" si="1"/>
        <v>8.4508387178915869E-3</v>
      </c>
      <c r="T10" s="105">
        <f t="shared" si="1"/>
        <v>8.3576664084381146E-3</v>
      </c>
      <c r="U10" s="105">
        <f t="shared" si="1"/>
        <v>8.2352941176470577E-3</v>
      </c>
      <c r="V10" s="103"/>
    </row>
    <row r="11" spans="2:22" ht="17" thickBot="1" x14ac:dyDescent="0.25">
      <c r="B11" s="103"/>
      <c r="C11" s="105">
        <f t="shared" si="0"/>
        <v>1.4175319971021491E-2</v>
      </c>
      <c r="D11" s="105">
        <f t="shared" si="0"/>
        <v>1.3901458019105077E-2</v>
      </c>
      <c r="E11" s="105">
        <f t="shared" si="0"/>
        <v>1.3420579933282013E-2</v>
      </c>
      <c r="F11" s="105">
        <f t="shared" si="0"/>
        <v>1.2809278350515466E-2</v>
      </c>
      <c r="G11" s="105">
        <f t="shared" si="0"/>
        <v>1.2143989364421945E-2</v>
      </c>
      <c r="H11" s="105">
        <f t="shared" si="0"/>
        <v>1.1488185017596781E-2</v>
      </c>
      <c r="I11" s="105">
        <f t="shared" si="0"/>
        <v>1.0887195871221431E-2</v>
      </c>
      <c r="J11" s="105">
        <f t="shared" si="0"/>
        <v>1.0368773946360155E-2</v>
      </c>
      <c r="K11" s="105">
        <f t="shared" si="0"/>
        <v>9.9464244118332157E-3</v>
      </c>
      <c r="L11" s="105">
        <f t="shared" si="0"/>
        <v>9.6232225341907444E-3</v>
      </c>
      <c r="M11" s="105">
        <f t="shared" si="1"/>
        <v>9.394939493949395E-3</v>
      </c>
      <c r="N11" s="105">
        <f t="shared" si="1"/>
        <v>9.2521367521367533E-3</v>
      </c>
      <c r="O11" s="105">
        <f t="shared" si="1"/>
        <v>9.1813471502590685E-3</v>
      </c>
      <c r="P11" s="105">
        <f t="shared" si="1"/>
        <v>9.1656638588046534E-3</v>
      </c>
      <c r="Q11" s="105">
        <f t="shared" si="1"/>
        <v>9.1851336195227611E-3</v>
      </c>
      <c r="R11" s="105">
        <f t="shared" si="1"/>
        <v>9.2173590504451026E-3</v>
      </c>
      <c r="S11" s="105">
        <f t="shared" si="1"/>
        <v>9.2386504151210046E-3</v>
      </c>
      <c r="T11" s="105">
        <f t="shared" si="1"/>
        <v>9.2258925592258942E-3</v>
      </c>
      <c r="U11" s="105">
        <f t="shared" si="1"/>
        <v>9.158995163051957E-3</v>
      </c>
      <c r="V11" s="103"/>
    </row>
    <row r="12" spans="2:22" ht="17" thickBot="1" x14ac:dyDescent="0.25">
      <c r="B12" s="103"/>
      <c r="C12" s="105">
        <f t="shared" si="0"/>
        <v>1.1975678895690399E-2</v>
      </c>
      <c r="D12" s="105">
        <f t="shared" si="0"/>
        <v>1.1862575626620572E-2</v>
      </c>
      <c r="E12" s="105">
        <f t="shared" si="0"/>
        <v>1.1613336316849406E-2</v>
      </c>
      <c r="F12" s="105">
        <f t="shared" si="0"/>
        <v>1.1273209549071619E-2</v>
      </c>
      <c r="G12" s="105">
        <f t="shared" si="0"/>
        <v>1.0890173410404623E-2</v>
      </c>
      <c r="H12" s="105">
        <f t="shared" si="0"/>
        <v>1.0507515308962701E-2</v>
      </c>
      <c r="I12" s="105">
        <f t="shared" si="0"/>
        <v>1.0159685258042121E-2</v>
      </c>
      <c r="J12" s="105">
        <f t="shared" si="0"/>
        <v>9.8711458812701346E-3</v>
      </c>
      <c r="K12" s="105">
        <f t="shared" si="0"/>
        <v>9.6570932834117162E-3</v>
      </c>
      <c r="L12" s="106">
        <f t="shared" si="0"/>
        <v>9.5248868778280531E-3</v>
      </c>
      <c r="M12" s="105">
        <f t="shared" si="1"/>
        <v>9.4753819273330035E-3</v>
      </c>
      <c r="N12" s="105">
        <f t="shared" si="1"/>
        <v>9.50376606114311E-3</v>
      </c>
      <c r="O12" s="105">
        <f t="shared" si="1"/>
        <v>9.5998250601355764E-3</v>
      </c>
      <c r="P12" s="105">
        <f t="shared" si="1"/>
        <v>9.7478051299707356E-3</v>
      </c>
      <c r="Q12" s="105">
        <f t="shared" si="1"/>
        <v>9.9262381454162281E-3</v>
      </c>
      <c r="R12" s="105">
        <f t="shared" si="1"/>
        <v>1.0108258837037644E-2</v>
      </c>
      <c r="S12" s="105">
        <f t="shared" si="1"/>
        <v>1.0263001779711291E-2</v>
      </c>
      <c r="T12" s="105">
        <f t="shared" si="1"/>
        <v>1.0358490566037734E-2</v>
      </c>
      <c r="U12" s="105">
        <f t="shared" si="1"/>
        <v>1.0365918708438532E-2</v>
      </c>
      <c r="V12" s="103"/>
    </row>
    <row r="13" spans="2:22" x14ac:dyDescent="0.2">
      <c r="B13" s="103"/>
      <c r="C13" s="105">
        <f t="shared" ref="C13:L22" si="2">1/(POWER(SQRT(POWER(ROW(C13) -ROW($B$2),2) + POWER(COLUMN(C13)-COLUMN($B$2),2)),2))+1/(POWER(SQRT(POWER(-ROW(C13) +ROW($V$23),2) + POWER(-COLUMN(C13)+COLUMN($V$23),2)),2))</f>
        <v>1.0365918708438532E-2</v>
      </c>
      <c r="D13" s="105">
        <f t="shared" si="2"/>
        <v>1.0358490566037734E-2</v>
      </c>
      <c r="E13" s="105">
        <f t="shared" si="2"/>
        <v>1.0263001779711291E-2</v>
      </c>
      <c r="F13" s="105">
        <f t="shared" si="2"/>
        <v>1.0108258837037644E-2</v>
      </c>
      <c r="G13" s="105">
        <f t="shared" si="2"/>
        <v>9.9262381454162281E-3</v>
      </c>
      <c r="H13" s="105">
        <f t="shared" si="2"/>
        <v>9.7478051299707356E-3</v>
      </c>
      <c r="I13" s="105">
        <f t="shared" si="2"/>
        <v>9.5998250601355764E-3</v>
      </c>
      <c r="J13" s="105">
        <f t="shared" si="2"/>
        <v>9.50376606114311E-3</v>
      </c>
      <c r="K13" s="105">
        <f t="shared" si="2"/>
        <v>9.4753819273330035E-3</v>
      </c>
      <c r="L13" s="105">
        <f t="shared" si="2"/>
        <v>9.5248868778280531E-3</v>
      </c>
      <c r="M13" s="105">
        <f t="shared" ref="M13:U22" si="3">1/(POWER(SQRT(POWER(ROW(M13) -ROW($B$2),2) + POWER(COLUMN(M13)-COLUMN($B$2),2)),2))+1/(POWER(SQRT(POWER(-ROW(M13) +ROW($V$23),2) + POWER(-COLUMN(M13)+COLUMN($V$23),2)),2))</f>
        <v>9.6570932834117162E-3</v>
      </c>
      <c r="N13" s="105">
        <f t="shared" si="3"/>
        <v>9.8711458812701346E-3</v>
      </c>
      <c r="O13" s="105">
        <f t="shared" si="3"/>
        <v>1.0159685258042121E-2</v>
      </c>
      <c r="P13" s="105">
        <f t="shared" si="3"/>
        <v>1.0507515308962701E-2</v>
      </c>
      <c r="Q13" s="105">
        <f t="shared" si="3"/>
        <v>1.0890173410404623E-2</v>
      </c>
      <c r="R13" s="105">
        <f t="shared" si="3"/>
        <v>1.1273209549071619E-2</v>
      </c>
      <c r="S13" s="105">
        <f t="shared" si="3"/>
        <v>1.1613336316849406E-2</v>
      </c>
      <c r="T13" s="105">
        <f t="shared" si="3"/>
        <v>1.1862575626620572E-2</v>
      </c>
      <c r="U13" s="105">
        <f t="shared" si="3"/>
        <v>1.1975678895690399E-2</v>
      </c>
      <c r="V13" s="103"/>
    </row>
    <row r="14" spans="2:22" x14ac:dyDescent="0.2">
      <c r="B14" s="103"/>
      <c r="C14" s="105">
        <f t="shared" si="2"/>
        <v>9.158995163051957E-3</v>
      </c>
      <c r="D14" s="105">
        <f t="shared" si="2"/>
        <v>9.2258925592258942E-3</v>
      </c>
      <c r="E14" s="105">
        <f t="shared" si="2"/>
        <v>9.2386504151210046E-3</v>
      </c>
      <c r="F14" s="105">
        <f t="shared" si="2"/>
        <v>9.2173590504451026E-3</v>
      </c>
      <c r="G14" s="105">
        <f t="shared" si="2"/>
        <v>9.1851336195227611E-3</v>
      </c>
      <c r="H14" s="105">
        <f t="shared" si="2"/>
        <v>9.1656638588046534E-3</v>
      </c>
      <c r="I14" s="105">
        <f t="shared" si="2"/>
        <v>9.1813471502590685E-3</v>
      </c>
      <c r="J14" s="105">
        <f t="shared" si="2"/>
        <v>9.2521367521367533E-3</v>
      </c>
      <c r="K14" s="105">
        <f t="shared" si="2"/>
        <v>9.394939493949395E-3</v>
      </c>
      <c r="L14" s="105">
        <f t="shared" si="2"/>
        <v>9.6232225341907444E-3</v>
      </c>
      <c r="M14" s="105">
        <f t="shared" si="3"/>
        <v>9.9464244118332157E-3</v>
      </c>
      <c r="N14" s="105">
        <f t="shared" si="3"/>
        <v>1.0368773946360155E-2</v>
      </c>
      <c r="O14" s="105">
        <f t="shared" si="3"/>
        <v>1.0887195871221431E-2</v>
      </c>
      <c r="P14" s="105">
        <f t="shared" si="3"/>
        <v>1.1488185017596781E-2</v>
      </c>
      <c r="Q14" s="105">
        <f t="shared" si="3"/>
        <v>1.2143989364421945E-2</v>
      </c>
      <c r="R14" s="105">
        <f t="shared" si="3"/>
        <v>1.2809278350515466E-2</v>
      </c>
      <c r="S14" s="105">
        <f t="shared" si="3"/>
        <v>1.3420579933282013E-2</v>
      </c>
      <c r="T14" s="105">
        <f t="shared" si="3"/>
        <v>1.3901458019105077E-2</v>
      </c>
      <c r="U14" s="105">
        <f t="shared" si="3"/>
        <v>1.4175319971021491E-2</v>
      </c>
      <c r="V14" s="103"/>
    </row>
    <row r="15" spans="2:22" x14ac:dyDescent="0.2">
      <c r="B15" s="103"/>
      <c r="C15" s="105">
        <f t="shared" si="2"/>
        <v>8.2352941176470577E-3</v>
      </c>
      <c r="D15" s="105">
        <f t="shared" si="2"/>
        <v>8.3576664084381146E-3</v>
      </c>
      <c r="E15" s="105">
        <f t="shared" si="2"/>
        <v>8.4508387178915869E-3</v>
      </c>
      <c r="F15" s="105">
        <f t="shared" si="2"/>
        <v>8.530405405405405E-3</v>
      </c>
      <c r="G15" s="105">
        <f t="shared" si="2"/>
        <v>8.6148467877144794E-3</v>
      </c>
      <c r="H15" s="105">
        <f t="shared" si="2"/>
        <v>8.7242026266416521E-3</v>
      </c>
      <c r="I15" s="105">
        <f t="shared" si="2"/>
        <v>8.8790014568649843E-3</v>
      </c>
      <c r="J15" s="105">
        <f t="shared" si="2"/>
        <v>9.0995378012545397E-3</v>
      </c>
      <c r="K15" s="105">
        <f t="shared" si="2"/>
        <v>9.4054054054054058E-3</v>
      </c>
      <c r="L15" s="105">
        <f t="shared" si="2"/>
        <v>9.8150330945688639E-3</v>
      </c>
      <c r="M15" s="105">
        <f t="shared" si="3"/>
        <v>1.0344827586206896E-2</v>
      </c>
      <c r="N15" s="105">
        <f t="shared" si="3"/>
        <v>1.1007388178913738E-2</v>
      </c>
      <c r="O15" s="105">
        <f t="shared" si="3"/>
        <v>1.1808137403780696E-2</v>
      </c>
      <c r="P15" s="105">
        <f t="shared" si="3"/>
        <v>1.2739726027397261E-2</v>
      </c>
      <c r="Q15" s="105">
        <f t="shared" si="3"/>
        <v>1.3774026122169623E-2</v>
      </c>
      <c r="R15" s="105">
        <f t="shared" si="3"/>
        <v>1.4852941176470586E-2</v>
      </c>
      <c r="S15" s="105">
        <f t="shared" si="3"/>
        <v>1.5882036250523424E-2</v>
      </c>
      <c r="T15" s="105">
        <f t="shared" si="3"/>
        <v>1.6734279918864097E-2</v>
      </c>
      <c r="U15" s="105">
        <f t="shared" si="3"/>
        <v>1.7271407837445577E-2</v>
      </c>
      <c r="V15" s="103"/>
    </row>
    <row r="16" spans="2:22" x14ac:dyDescent="0.2">
      <c r="B16" s="103"/>
      <c r="C16" s="105">
        <f t="shared" si="2"/>
        <v>7.5151665222235979E-3</v>
      </c>
      <c r="D16" s="105">
        <f t="shared" si="2"/>
        <v>7.6809651474530824E-3</v>
      </c>
      <c r="E16" s="105">
        <f t="shared" si="2"/>
        <v>7.83662866214461E-3</v>
      </c>
      <c r="F16" s="105">
        <f t="shared" si="2"/>
        <v>7.9956696566656354E-3</v>
      </c>
      <c r="G16" s="105">
        <f t="shared" si="2"/>
        <v>8.1745219143244049E-3</v>
      </c>
      <c r="H16" s="105">
        <f t="shared" si="2"/>
        <v>8.39197748064743E-3</v>
      </c>
      <c r="I16" s="105">
        <f t="shared" si="2"/>
        <v>8.6687886163639774E-3</v>
      </c>
      <c r="J16" s="105">
        <f t="shared" si="2"/>
        <v>9.0275009964129148E-3</v>
      </c>
      <c r="K16" s="105">
        <f t="shared" si="2"/>
        <v>9.4924612444255672E-3</v>
      </c>
      <c r="L16" s="105">
        <f t="shared" si="2"/>
        <v>1.0089787774351534E-2</v>
      </c>
      <c r="M16" s="105">
        <f t="shared" si="3"/>
        <v>1.0846881824799806E-2</v>
      </c>
      <c r="N16" s="105">
        <f t="shared" si="3"/>
        <v>1.1790733992712127E-2</v>
      </c>
      <c r="O16" s="105">
        <f t="shared" si="3"/>
        <v>1.2943807660050322E-2</v>
      </c>
      <c r="P16" s="105">
        <f t="shared" si="3"/>
        <v>1.4315726290516206E-2</v>
      </c>
      <c r="Q16" s="105">
        <f t="shared" si="3"/>
        <v>1.5888810425627529E-2</v>
      </c>
      <c r="R16" s="105">
        <f t="shared" si="3"/>
        <v>1.7597004765146359E-2</v>
      </c>
      <c r="S16" s="105">
        <f t="shared" si="3"/>
        <v>1.9303234980447916E-2</v>
      </c>
      <c r="T16" s="105">
        <f t="shared" si="3"/>
        <v>2.0791001451378809E-2</v>
      </c>
      <c r="U16" s="105">
        <f t="shared" si="3"/>
        <v>2.1795332136445238E-2</v>
      </c>
      <c r="V16" s="103"/>
    </row>
    <row r="17" spans="2:22" x14ac:dyDescent="0.2">
      <c r="B17" s="103"/>
      <c r="C17" s="105">
        <f t="shared" si="2"/>
        <v>6.9436704487193775E-3</v>
      </c>
      <c r="D17" s="105">
        <f t="shared" si="2"/>
        <v>7.1445900048520139E-3</v>
      </c>
      <c r="E17" s="105">
        <f t="shared" si="2"/>
        <v>7.35042735042735E-3</v>
      </c>
      <c r="F17" s="105">
        <f t="shared" si="2"/>
        <v>7.574035127607571E-3</v>
      </c>
      <c r="G17" s="105">
        <f t="shared" si="2"/>
        <v>7.831417624521074E-3</v>
      </c>
      <c r="H17" s="105">
        <f t="shared" si="2"/>
        <v>8.141762452107279E-3</v>
      </c>
      <c r="I17" s="105">
        <f t="shared" si="2"/>
        <v>8.5276838169841551E-3</v>
      </c>
      <c r="J17" s="105">
        <f t="shared" si="2"/>
        <v>9.0157631680123015E-3</v>
      </c>
      <c r="K17" s="105">
        <f t="shared" si="2"/>
        <v>9.6374006078015079E-3</v>
      </c>
      <c r="L17" s="105">
        <f t="shared" si="2"/>
        <v>1.0429864253393664E-2</v>
      </c>
      <c r="M17" s="105">
        <f t="shared" si="3"/>
        <v>1.1437181957413171E-2</v>
      </c>
      <c r="N17" s="105">
        <f t="shared" si="3"/>
        <v>1.2710027100271002E-2</v>
      </c>
      <c r="O17" s="105">
        <f t="shared" si="3"/>
        <v>1.4302776948342789E-2</v>
      </c>
      <c r="P17" s="105">
        <f t="shared" si="3"/>
        <v>1.6264185801002907E-2</v>
      </c>
      <c r="Q17" s="105">
        <f t="shared" si="3"/>
        <v>1.8615664845173043E-2</v>
      </c>
      <c r="R17" s="105">
        <f t="shared" si="3"/>
        <v>2.1309771309771311E-2</v>
      </c>
      <c r="S17" s="105">
        <f t="shared" si="3"/>
        <v>2.4167747514051013E-2</v>
      </c>
      <c r="T17" s="105">
        <f t="shared" si="3"/>
        <v>2.6821493624772309E-2</v>
      </c>
      <c r="U17" s="105">
        <f t="shared" si="3"/>
        <v>2.8733511668665258E-2</v>
      </c>
      <c r="V17" s="103"/>
    </row>
    <row r="18" spans="2:22" x14ac:dyDescent="0.2">
      <c r="B18" s="103"/>
      <c r="C18" s="105">
        <f t="shared" si="2"/>
        <v>6.4817241587871209E-3</v>
      </c>
      <c r="D18" s="105">
        <f t="shared" si="2"/>
        <v>6.7114833590478287E-3</v>
      </c>
      <c r="E18" s="105">
        <f t="shared" si="2"/>
        <v>6.9582982814565559E-3</v>
      </c>
      <c r="F18" s="105">
        <f t="shared" si="2"/>
        <v>7.2351894494452583E-3</v>
      </c>
      <c r="G18" s="105">
        <f t="shared" si="2"/>
        <v>7.5587188612099634E-3</v>
      </c>
      <c r="H18" s="105">
        <f t="shared" si="2"/>
        <v>7.9495444120746307E-3</v>
      </c>
      <c r="I18" s="105">
        <f t="shared" si="2"/>
        <v>8.4333276998478958E-3</v>
      </c>
      <c r="J18" s="105">
        <f t="shared" si="2"/>
        <v>9.0421597633136078E-3</v>
      </c>
      <c r="K18" s="105">
        <f t="shared" si="2"/>
        <v>9.8166741189382543E-3</v>
      </c>
      <c r="L18" s="105">
        <f t="shared" si="2"/>
        <v>1.0808988764044942E-2</v>
      </c>
      <c r="M18" s="105">
        <f t="shared" si="3"/>
        <v>1.2086482158050145E-2</v>
      </c>
      <c r="N18" s="105">
        <f t="shared" si="3"/>
        <v>1.3735955056179777E-2</v>
      </c>
      <c r="O18" s="105">
        <f t="shared" si="3"/>
        <v>1.5866454689984103E-2</v>
      </c>
      <c r="P18" s="105">
        <f t="shared" si="3"/>
        <v>1.8605832003481794E-2</v>
      </c>
      <c r="Q18" s="105">
        <f t="shared" si="3"/>
        <v>2.2079002079002076E-2</v>
      </c>
      <c r="R18" s="105">
        <f t="shared" si="3"/>
        <v>2.6343368902439025E-2</v>
      </c>
      <c r="S18" s="105">
        <f t="shared" si="3"/>
        <v>3.1246627091203454E-2</v>
      </c>
      <c r="T18" s="105">
        <f t="shared" si="3"/>
        <v>3.6206896551724141E-2</v>
      </c>
      <c r="U18" s="105">
        <f t="shared" si="3"/>
        <v>4.0082284004488218E-2</v>
      </c>
      <c r="V18" s="103"/>
    </row>
    <row r="19" spans="2:22" x14ac:dyDescent="0.2">
      <c r="B19" s="103"/>
      <c r="C19" s="105">
        <f t="shared" si="2"/>
        <v>6.1007957559681691E-3</v>
      </c>
      <c r="D19" s="105">
        <f t="shared" si="2"/>
        <v>6.3541457538646862E-3</v>
      </c>
      <c r="E19" s="105">
        <f t="shared" si="2"/>
        <v>6.6343932225767415E-3</v>
      </c>
      <c r="F19" s="105">
        <f t="shared" si="2"/>
        <v>6.955159112825458E-3</v>
      </c>
      <c r="G19" s="105">
        <f t="shared" si="2"/>
        <v>7.3340909691571744E-3</v>
      </c>
      <c r="H19" s="105">
        <f t="shared" si="2"/>
        <v>7.7939042089985484E-3</v>
      </c>
      <c r="I19" s="105">
        <f t="shared" si="2"/>
        <v>8.3639852870622099E-3</v>
      </c>
      <c r="J19" s="105">
        <f t="shared" si="2"/>
        <v>9.082861189801698E-3</v>
      </c>
      <c r="K19" s="105">
        <f t="shared" si="2"/>
        <v>1.0001972775695403E-2</v>
      </c>
      <c r="L19" s="105">
        <f t="shared" si="2"/>
        <v>1.1191383742576014E-2</v>
      </c>
      <c r="M19" s="105">
        <f t="shared" si="3"/>
        <v>1.2748302740759368E-2</v>
      </c>
      <c r="N19" s="105">
        <f t="shared" si="3"/>
        <v>1.4809468822170897E-2</v>
      </c>
      <c r="O19" s="105">
        <f t="shared" si="3"/>
        <v>1.7568021498152505E-2</v>
      </c>
      <c r="P19" s="105">
        <f t="shared" si="3"/>
        <v>2.1292624900872324E-2</v>
      </c>
      <c r="Q19" s="105">
        <f t="shared" si="3"/>
        <v>2.6335769194267819E-2</v>
      </c>
      <c r="R19" s="105">
        <f t="shared" si="3"/>
        <v>3.3084862385321094E-2</v>
      </c>
      <c r="S19" s="105">
        <f t="shared" si="3"/>
        <v>4.1730103806228373E-2</v>
      </c>
      <c r="T19" s="105">
        <f t="shared" si="3"/>
        <v>5.1631321370309943E-2</v>
      </c>
      <c r="U19" s="105">
        <f t="shared" si="3"/>
        <v>6.0361990950226242E-2</v>
      </c>
      <c r="V19" s="103"/>
    </row>
    <row r="20" spans="2:22" x14ac:dyDescent="0.2">
      <c r="B20" s="103"/>
      <c r="C20" s="105">
        <f t="shared" si="2"/>
        <v>5.7796257796257806E-3</v>
      </c>
      <c r="D20" s="105">
        <f t="shared" si="2"/>
        <v>6.0517834908078803E-3</v>
      </c>
      <c r="E20" s="105">
        <f t="shared" si="2"/>
        <v>6.3587077009895805E-3</v>
      </c>
      <c r="F20" s="105">
        <f t="shared" si="2"/>
        <v>6.7147613762486126E-3</v>
      </c>
      <c r="G20" s="105">
        <f t="shared" si="2"/>
        <v>7.1388337863982554E-3</v>
      </c>
      <c r="H20" s="105">
        <f t="shared" si="2"/>
        <v>7.6558265582655823E-3</v>
      </c>
      <c r="I20" s="105">
        <f t="shared" si="2"/>
        <v>8.2989426755429706E-3</v>
      </c>
      <c r="J20" s="105">
        <f t="shared" si="2"/>
        <v>9.113267300047169E-3</v>
      </c>
      <c r="K20" s="105">
        <f t="shared" si="2"/>
        <v>1.0161443494776828E-2</v>
      </c>
      <c r="L20" s="105">
        <f t="shared" si="2"/>
        <v>1.1532802492643239E-2</v>
      </c>
      <c r="M20" s="105">
        <f t="shared" si="3"/>
        <v>1.3358302122347065E-2</v>
      </c>
      <c r="N20" s="105">
        <f t="shared" si="3"/>
        <v>1.583538227373844E-2</v>
      </c>
      <c r="O20" s="105">
        <f t="shared" si="3"/>
        <v>1.9269776876267745E-2</v>
      </c>
      <c r="P20" s="105">
        <f t="shared" si="3"/>
        <v>2.4145299145299143E-2</v>
      </c>
      <c r="Q20" s="105">
        <f t="shared" si="3"/>
        <v>3.1233258330654667E-2</v>
      </c>
      <c r="R20" s="105">
        <f t="shared" si="3"/>
        <v>4.172413793103448E-2</v>
      </c>
      <c r="S20" s="105">
        <f t="shared" si="3"/>
        <v>5.7186876925865521E-2</v>
      </c>
      <c r="T20" s="105">
        <f t="shared" si="3"/>
        <v>7.8466286799620144E-2</v>
      </c>
      <c r="U20" s="105">
        <f t="shared" si="3"/>
        <v>0.10145985401459852</v>
      </c>
      <c r="V20" s="103"/>
    </row>
    <row r="21" spans="2:22" x14ac:dyDescent="0.2">
      <c r="B21" s="103"/>
      <c r="C21" s="105">
        <f t="shared" si="2"/>
        <v>5.5021569666237804E-3</v>
      </c>
      <c r="D21" s="105">
        <f t="shared" si="2"/>
        <v>5.7885065152021384E-3</v>
      </c>
      <c r="E21" s="105">
        <f t="shared" si="2"/>
        <v>6.1156719859791538E-3</v>
      </c>
      <c r="F21" s="105">
        <f t="shared" si="2"/>
        <v>6.4986737400530509E-3</v>
      </c>
      <c r="G21" s="105">
        <f t="shared" si="2"/>
        <v>6.9574858022037698E-3</v>
      </c>
      <c r="H21" s="105">
        <f t="shared" si="2"/>
        <v>7.5188916876574299E-3</v>
      </c>
      <c r="I21" s="105">
        <f t="shared" si="2"/>
        <v>8.2193712110531503E-3</v>
      </c>
      <c r="J21" s="105">
        <f t="shared" si="2"/>
        <v>9.109697933227346E-3</v>
      </c>
      <c r="K21" s="105">
        <f t="shared" si="2"/>
        <v>1.0262443438914026E-2</v>
      </c>
      <c r="L21" s="105">
        <f t="shared" si="2"/>
        <v>1.1784582012347739E-2</v>
      </c>
      <c r="M21" s="105">
        <f t="shared" si="3"/>
        <v>1.3839394679033439E-2</v>
      </c>
      <c r="N21" s="105">
        <f t="shared" si="3"/>
        <v>1.6686080372743155E-2</v>
      </c>
      <c r="O21" s="105">
        <f t="shared" si="3"/>
        <v>2.0754716981132074E-2</v>
      </c>
      <c r="P21" s="105">
        <f t="shared" si="3"/>
        <v>2.6795332136445235E-2</v>
      </c>
      <c r="Q21" s="105">
        <f t="shared" si="3"/>
        <v>3.6189243262327885E-2</v>
      </c>
      <c r="R21" s="105">
        <f t="shared" si="3"/>
        <v>5.1620745542949743E-2</v>
      </c>
      <c r="S21" s="105">
        <f t="shared" si="3"/>
        <v>7.8461538461538471E-2</v>
      </c>
      <c r="T21" s="105">
        <f t="shared" si="3"/>
        <v>0.1264598540145985</v>
      </c>
      <c r="U21" s="105">
        <f t="shared" si="3"/>
        <v>0.20138504155124648</v>
      </c>
      <c r="V21" s="103"/>
    </row>
    <row r="22" spans="2:22" x14ac:dyDescent="0.2">
      <c r="B22" s="103"/>
      <c r="C22" s="105">
        <f t="shared" si="2"/>
        <v>5.2561965252614319E-3</v>
      </c>
      <c r="D22" s="105">
        <f t="shared" si="2"/>
        <v>5.5521706016755518E-3</v>
      </c>
      <c r="E22" s="105">
        <f t="shared" si="2"/>
        <v>5.8932636371300893E-3</v>
      </c>
      <c r="F22" s="105">
        <f t="shared" si="2"/>
        <v>6.2948967375037407E-3</v>
      </c>
      <c r="G22" s="105">
        <f t="shared" si="2"/>
        <v>6.7777199375325349E-3</v>
      </c>
      <c r="H22" s="105">
        <f t="shared" si="2"/>
        <v>7.3697201136310713E-3</v>
      </c>
      <c r="I22" s="105">
        <f t="shared" si="2"/>
        <v>8.1095244333813689E-3</v>
      </c>
      <c r="J22" s="105">
        <f t="shared" si="2"/>
        <v>9.0517241379310352E-3</v>
      </c>
      <c r="K22" s="105">
        <f t="shared" si="2"/>
        <v>1.0275723390477488E-2</v>
      </c>
      <c r="L22" s="105">
        <f t="shared" si="2"/>
        <v>1.1900990099009901E-2</v>
      </c>
      <c r="M22" s="105">
        <f t="shared" si="3"/>
        <v>1.4114507747764616E-2</v>
      </c>
      <c r="N22" s="105">
        <f t="shared" si="3"/>
        <v>1.7222850678733033E-2</v>
      </c>
      <c r="O22" s="105">
        <f t="shared" si="3"/>
        <v>2.1757469244288223E-2</v>
      </c>
      <c r="P22" s="105">
        <f t="shared" si="3"/>
        <v>2.8704879376020322E-2</v>
      </c>
      <c r="Q22" s="105">
        <f t="shared" si="3"/>
        <v>4.0061538461538461E-2</v>
      </c>
      <c r="R22" s="105">
        <f t="shared" si="3"/>
        <v>6.0347919655667145E-2</v>
      </c>
      <c r="S22" s="105">
        <f t="shared" si="3"/>
        <v>0.10145137880986935</v>
      </c>
      <c r="T22" s="105">
        <f t="shared" si="3"/>
        <v>0.20138121546961321</v>
      </c>
      <c r="U22" s="105">
        <f t="shared" si="3"/>
        <v>0.5013140604467804</v>
      </c>
      <c r="V22" s="103"/>
    </row>
    <row r="23" spans="2:22" x14ac:dyDescent="0.2">
      <c r="B23" s="104" t="s">
        <v>378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2">
        <f>1</f>
        <v>1</v>
      </c>
    </row>
  </sheetData>
  <conditionalFormatting sqref="C2:U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U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E3D1-3962-7241-908B-468C7690C13F}">
  <dimension ref="B2:AJ45"/>
  <sheetViews>
    <sheetView topLeftCell="A3" zoomScale="110" zoomScaleNormal="110" workbookViewId="0">
      <selection activeCell="E35" sqref="E35"/>
    </sheetView>
  </sheetViews>
  <sheetFormatPr baseColWidth="10" defaultRowHeight="16" x14ac:dyDescent="0.2"/>
  <cols>
    <col min="1" max="1" width="11.5" customWidth="1"/>
    <col min="2" max="2" width="8.6640625" bestFit="1" customWidth="1"/>
    <col min="3" max="3" width="6.6640625" bestFit="1" customWidth="1"/>
    <col min="4" max="4" width="9.6640625" bestFit="1" customWidth="1"/>
    <col min="5" max="5" width="19.33203125" bestFit="1" customWidth="1"/>
    <col min="6" max="6" width="7.6640625" bestFit="1" customWidth="1"/>
    <col min="7" max="7" width="7.5" bestFit="1" customWidth="1"/>
    <col min="8" max="12" width="8.33203125" customWidth="1"/>
    <col min="14" max="14" width="3.5" bestFit="1" customWidth="1"/>
    <col min="15" max="36" width="2.83203125" customWidth="1"/>
  </cols>
  <sheetData>
    <row r="2" spans="2:36" ht="18" customHeight="1" thickBot="1" x14ac:dyDescent="0.25"/>
    <row r="3" spans="2:36" ht="85" x14ac:dyDescent="0.2">
      <c r="B3" s="195" t="s">
        <v>478</v>
      </c>
      <c r="C3" s="192" t="s">
        <v>477</v>
      </c>
      <c r="D3" s="192" t="s">
        <v>476</v>
      </c>
      <c r="E3" s="192" t="s">
        <v>475</v>
      </c>
      <c r="F3" s="192" t="s">
        <v>474</v>
      </c>
      <c r="G3" s="194" t="s">
        <v>473</v>
      </c>
      <c r="H3" s="193" t="s">
        <v>472</v>
      </c>
      <c r="I3" s="193" t="s">
        <v>471</v>
      </c>
      <c r="J3" s="192" t="s">
        <v>470</v>
      </c>
      <c r="K3" s="192" t="s">
        <v>469</v>
      </c>
      <c r="L3" s="191" t="s">
        <v>468</v>
      </c>
    </row>
    <row r="4" spans="2:36" s="185" customFormat="1" ht="39" customHeight="1" thickBot="1" x14ac:dyDescent="0.25">
      <c r="B4" s="190"/>
      <c r="C4" s="189"/>
      <c r="D4" s="189"/>
      <c r="E4" s="189"/>
      <c r="F4" s="189"/>
      <c r="G4" s="189"/>
      <c r="H4" s="188" t="s">
        <v>382</v>
      </c>
      <c r="I4" s="188" t="s">
        <v>382</v>
      </c>
      <c r="J4" s="187" t="s">
        <v>466</v>
      </c>
      <c r="K4" s="187" t="s">
        <v>467</v>
      </c>
      <c r="L4" s="186" t="s">
        <v>466</v>
      </c>
    </row>
    <row r="5" spans="2:36" ht="17" thickBot="1" x14ac:dyDescent="0.25">
      <c r="B5" s="148">
        <f>18.2*10^6</f>
        <v>18200000</v>
      </c>
      <c r="C5" s="147">
        <v>2</v>
      </c>
      <c r="D5" s="184" t="s">
        <v>382</v>
      </c>
      <c r="E5" s="183" t="s">
        <v>465</v>
      </c>
      <c r="F5" s="182" t="s">
        <v>380</v>
      </c>
      <c r="G5" s="181"/>
      <c r="H5" s="180" t="s">
        <v>380</v>
      </c>
      <c r="I5" s="142"/>
      <c r="J5" s="179"/>
      <c r="K5" s="179"/>
      <c r="L5" s="178"/>
      <c r="M5" s="116"/>
      <c r="P5" s="177" t="s">
        <v>464</v>
      </c>
    </row>
    <row r="6" spans="2:36" x14ac:dyDescent="0.2">
      <c r="B6" s="126">
        <f>1.7768*10^9</f>
        <v>1776800000</v>
      </c>
      <c r="C6" s="125">
        <v>8</v>
      </c>
      <c r="D6" s="124" t="s">
        <v>382</v>
      </c>
      <c r="E6" s="176" t="s">
        <v>196</v>
      </c>
      <c r="F6" s="175" t="s">
        <v>463</v>
      </c>
      <c r="G6" s="174" t="s">
        <v>421</v>
      </c>
      <c r="H6" s="173" t="s">
        <v>380</v>
      </c>
      <c r="I6" s="119"/>
      <c r="J6" s="118"/>
      <c r="K6" s="172"/>
      <c r="L6" s="117"/>
      <c r="M6" s="116"/>
      <c r="O6" s="171"/>
      <c r="P6" s="170">
        <v>1</v>
      </c>
      <c r="Q6" s="170">
        <v>2</v>
      </c>
      <c r="R6" s="170">
        <v>3</v>
      </c>
      <c r="S6" s="170">
        <v>4</v>
      </c>
      <c r="T6" s="170">
        <v>5</v>
      </c>
      <c r="U6" s="170">
        <v>6</v>
      </c>
      <c r="V6" s="170">
        <v>7</v>
      </c>
      <c r="W6" s="170">
        <v>8</v>
      </c>
      <c r="X6" s="170">
        <v>9</v>
      </c>
      <c r="Y6" s="170">
        <v>10</v>
      </c>
      <c r="Z6" s="170">
        <v>11</v>
      </c>
      <c r="AA6" s="170">
        <v>12</v>
      </c>
      <c r="AB6" s="170">
        <v>13</v>
      </c>
      <c r="AC6" s="170">
        <v>14</v>
      </c>
      <c r="AD6" s="170">
        <v>15</v>
      </c>
      <c r="AE6" s="170">
        <v>16</v>
      </c>
      <c r="AF6" s="170">
        <v>17</v>
      </c>
      <c r="AG6" s="170">
        <v>18</v>
      </c>
      <c r="AH6" s="170">
        <v>19</v>
      </c>
      <c r="AI6" s="170">
        <v>20</v>
      </c>
      <c r="AJ6" s="169">
        <v>21</v>
      </c>
    </row>
    <row r="7" spans="2:36" x14ac:dyDescent="0.2">
      <c r="B7" s="126">
        <f>173.1*10^9</f>
        <v>173100000000</v>
      </c>
      <c r="C7" s="125">
        <v>8</v>
      </c>
      <c r="D7" s="124" t="s">
        <v>382</v>
      </c>
      <c r="E7" s="127" t="s">
        <v>462</v>
      </c>
      <c r="F7" s="122" t="s">
        <v>461</v>
      </c>
      <c r="G7" s="121" t="s">
        <v>442</v>
      </c>
      <c r="H7" s="120" t="s">
        <v>380</v>
      </c>
      <c r="I7" s="119"/>
      <c r="J7" s="118"/>
      <c r="K7" s="118"/>
      <c r="L7" s="117"/>
      <c r="M7" s="116"/>
      <c r="N7" s="207" t="s">
        <v>460</v>
      </c>
      <c r="O7" s="139">
        <v>1</v>
      </c>
      <c r="P7" s="159" t="s">
        <v>454</v>
      </c>
      <c r="Q7" s="125"/>
      <c r="R7" s="125"/>
      <c r="S7" s="125"/>
      <c r="T7" s="125"/>
      <c r="U7" s="125"/>
      <c r="V7" s="168" t="s">
        <v>459</v>
      </c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38"/>
    </row>
    <row r="8" spans="2:36" x14ac:dyDescent="0.2">
      <c r="B8" s="126">
        <f>4.18*10^9</f>
        <v>4179999999.9999995</v>
      </c>
      <c r="C8" s="125">
        <v>8</v>
      </c>
      <c r="D8" s="124" t="s">
        <v>382</v>
      </c>
      <c r="E8" s="127" t="s">
        <v>203</v>
      </c>
      <c r="F8" s="122" t="s">
        <v>458</v>
      </c>
      <c r="G8" s="121" t="s">
        <v>437</v>
      </c>
      <c r="H8" s="120" t="s">
        <v>380</v>
      </c>
      <c r="I8" s="119"/>
      <c r="J8" s="118"/>
      <c r="K8" s="118"/>
      <c r="L8" s="117"/>
      <c r="M8" s="116"/>
      <c r="N8" s="207"/>
      <c r="O8" s="139">
        <v>2</v>
      </c>
      <c r="P8" s="125"/>
      <c r="Q8" s="159" t="s">
        <v>454</v>
      </c>
      <c r="R8" s="125"/>
      <c r="S8" s="125"/>
      <c r="T8" s="125"/>
      <c r="U8" s="168" t="s">
        <v>457</v>
      </c>
      <c r="V8" s="125"/>
      <c r="W8" s="168" t="s">
        <v>456</v>
      </c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38"/>
    </row>
    <row r="9" spans="2:36" x14ac:dyDescent="0.2">
      <c r="B9" s="126">
        <f>0.17*10^6</f>
        <v>170000</v>
      </c>
      <c r="C9" s="125">
        <v>4</v>
      </c>
      <c r="D9" s="124" t="s">
        <v>382</v>
      </c>
      <c r="E9" s="123" t="s">
        <v>455</v>
      </c>
      <c r="F9" s="122" t="s">
        <v>391</v>
      </c>
      <c r="G9" s="118"/>
      <c r="H9" s="119"/>
      <c r="I9" s="120" t="s">
        <v>391</v>
      </c>
      <c r="J9" s="118"/>
      <c r="K9" s="118"/>
      <c r="L9" s="117"/>
      <c r="M9" s="116"/>
      <c r="N9" s="207"/>
      <c r="O9" s="139">
        <v>3</v>
      </c>
      <c r="P9" s="125"/>
      <c r="Q9" s="125"/>
      <c r="R9" s="159" t="s">
        <v>454</v>
      </c>
      <c r="S9" s="125"/>
      <c r="T9" s="168" t="s">
        <v>378</v>
      </c>
      <c r="U9" s="125"/>
      <c r="V9" s="168" t="s">
        <v>453</v>
      </c>
      <c r="W9" s="125"/>
      <c r="X9" s="168" t="s">
        <v>40</v>
      </c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38"/>
    </row>
    <row r="10" spans="2:36" x14ac:dyDescent="0.2">
      <c r="B10" s="126">
        <f>105.66*10^9</f>
        <v>105660000000</v>
      </c>
      <c r="C10" s="125">
        <v>10</v>
      </c>
      <c r="D10" s="124" t="s">
        <v>382</v>
      </c>
      <c r="E10" s="123" t="s">
        <v>195</v>
      </c>
      <c r="F10" s="122" t="s">
        <v>452</v>
      </c>
      <c r="G10" s="121" t="s">
        <v>421</v>
      </c>
      <c r="H10" s="119"/>
      <c r="I10" s="120" t="s">
        <v>391</v>
      </c>
      <c r="J10" s="118"/>
      <c r="K10" s="118"/>
      <c r="L10" s="117"/>
      <c r="M10" s="116"/>
      <c r="N10" s="207"/>
      <c r="O10" s="139">
        <v>4</v>
      </c>
      <c r="P10" s="125"/>
      <c r="Q10" s="125"/>
      <c r="R10" s="125"/>
      <c r="S10" s="125"/>
      <c r="T10" s="125"/>
      <c r="U10" s="168" t="s">
        <v>451</v>
      </c>
      <c r="V10" s="125"/>
      <c r="W10" s="168" t="s">
        <v>450</v>
      </c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38"/>
    </row>
    <row r="11" spans="2:36" x14ac:dyDescent="0.2">
      <c r="B11" s="126">
        <f>1.28*10^9</f>
        <v>1280000000</v>
      </c>
      <c r="C11" s="125">
        <v>10</v>
      </c>
      <c r="D11" s="124" t="s">
        <v>382</v>
      </c>
      <c r="E11" s="127" t="s">
        <v>449</v>
      </c>
      <c r="F11" s="122" t="s">
        <v>448</v>
      </c>
      <c r="G11" s="121" t="s">
        <v>442</v>
      </c>
      <c r="H11" s="119"/>
      <c r="I11" s="120" t="s">
        <v>391</v>
      </c>
      <c r="J11" s="118"/>
      <c r="K11" s="118"/>
      <c r="L11" s="117"/>
      <c r="M11" s="116"/>
      <c r="N11" s="207"/>
      <c r="O11" s="139">
        <v>5</v>
      </c>
      <c r="P11" s="125"/>
      <c r="Q11" s="125"/>
      <c r="R11" s="166" t="s">
        <v>55</v>
      </c>
      <c r="S11" s="125"/>
      <c r="T11" s="125"/>
      <c r="U11" s="125"/>
      <c r="V11" s="168" t="s">
        <v>447</v>
      </c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38"/>
    </row>
    <row r="12" spans="2:36" x14ac:dyDescent="0.2">
      <c r="B12" s="126">
        <f>96*10^6</f>
        <v>96000000</v>
      </c>
      <c r="C12" s="125">
        <v>10</v>
      </c>
      <c r="D12" s="124" t="s">
        <v>382</v>
      </c>
      <c r="E12" s="127" t="s">
        <v>202</v>
      </c>
      <c r="F12" s="122" t="s">
        <v>446</v>
      </c>
      <c r="G12" s="121" t="s">
        <v>437</v>
      </c>
      <c r="H12" s="119"/>
      <c r="I12" s="120" t="s">
        <v>391</v>
      </c>
      <c r="J12" s="118"/>
      <c r="K12" s="118"/>
      <c r="L12" s="117"/>
      <c r="M12" s="116"/>
      <c r="N12" s="207"/>
      <c r="O12" s="139">
        <v>6</v>
      </c>
      <c r="P12" s="125"/>
      <c r="Q12" s="166" t="s">
        <v>445</v>
      </c>
      <c r="R12" s="125"/>
      <c r="S12" s="166" t="s">
        <v>30</v>
      </c>
      <c r="T12" s="125"/>
      <c r="U12" s="159" t="s">
        <v>107</v>
      </c>
      <c r="V12" s="125"/>
      <c r="W12" s="125"/>
      <c r="X12" s="125"/>
      <c r="Y12" s="125"/>
      <c r="Z12" s="125"/>
      <c r="AA12" s="168" t="s">
        <v>429</v>
      </c>
      <c r="AB12" s="125"/>
      <c r="AC12" s="125"/>
      <c r="AD12" s="125"/>
      <c r="AE12" s="125"/>
      <c r="AF12" s="125"/>
      <c r="AG12" s="125"/>
      <c r="AH12" s="125"/>
      <c r="AI12" s="125"/>
      <c r="AJ12" s="138"/>
    </row>
    <row r="13" spans="2:36" x14ac:dyDescent="0.2">
      <c r="B13" s="126">
        <f>2.2*10^6</f>
        <v>2200000</v>
      </c>
      <c r="C13" s="125">
        <v>12</v>
      </c>
      <c r="D13" s="124" t="s">
        <v>382</v>
      </c>
      <c r="E13" s="127" t="s">
        <v>444</v>
      </c>
      <c r="F13" s="122" t="s">
        <v>443</v>
      </c>
      <c r="G13" s="121" t="s">
        <v>442</v>
      </c>
      <c r="H13" s="119"/>
      <c r="I13" s="119"/>
      <c r="J13" s="120" t="s">
        <v>398</v>
      </c>
      <c r="K13" s="118"/>
      <c r="L13" s="117"/>
      <c r="M13" s="116"/>
      <c r="N13" s="207"/>
      <c r="O13" s="139">
        <v>7</v>
      </c>
      <c r="P13" s="166" t="s">
        <v>441</v>
      </c>
      <c r="Q13" s="125"/>
      <c r="R13" s="166" t="s">
        <v>440</v>
      </c>
      <c r="S13" s="125"/>
      <c r="T13" s="166" t="s">
        <v>439</v>
      </c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38"/>
    </row>
    <row r="14" spans="2:36" x14ac:dyDescent="0.2">
      <c r="B14" s="126">
        <f>4.7*10^6</f>
        <v>4700000</v>
      </c>
      <c r="C14" s="125">
        <v>12</v>
      </c>
      <c r="D14" s="124" t="s">
        <v>382</v>
      </c>
      <c r="E14" s="127" t="s">
        <v>201</v>
      </c>
      <c r="F14" s="122" t="s">
        <v>438</v>
      </c>
      <c r="G14" s="121" t="s">
        <v>437</v>
      </c>
      <c r="H14" s="119"/>
      <c r="I14" s="119"/>
      <c r="J14" s="120" t="s">
        <v>398</v>
      </c>
      <c r="K14" s="118"/>
      <c r="L14" s="117"/>
      <c r="M14" s="116"/>
      <c r="N14" s="207"/>
      <c r="O14" s="139">
        <v>8</v>
      </c>
      <c r="P14" s="125"/>
      <c r="Q14" s="166" t="s">
        <v>436</v>
      </c>
      <c r="R14" s="125"/>
      <c r="S14" s="166" t="s">
        <v>435</v>
      </c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38"/>
    </row>
    <row r="15" spans="2:36" x14ac:dyDescent="0.2">
      <c r="B15" s="126">
        <v>1</v>
      </c>
      <c r="C15" s="125">
        <v>6</v>
      </c>
      <c r="D15" s="131" t="s">
        <v>408</v>
      </c>
      <c r="E15" s="123" t="s">
        <v>434</v>
      </c>
      <c r="F15" s="122" t="s">
        <v>398</v>
      </c>
      <c r="G15" s="118"/>
      <c r="H15" s="119"/>
      <c r="I15" s="119"/>
      <c r="J15" s="128" t="s">
        <v>398</v>
      </c>
      <c r="K15" s="118"/>
      <c r="L15" s="117"/>
      <c r="M15" s="116"/>
      <c r="N15" s="207"/>
      <c r="O15" s="139">
        <v>9</v>
      </c>
      <c r="P15" s="125"/>
      <c r="Q15" s="125"/>
      <c r="R15" s="166" t="s">
        <v>433</v>
      </c>
      <c r="S15" s="125"/>
      <c r="T15" s="125"/>
      <c r="U15" s="125"/>
      <c r="V15" s="125"/>
      <c r="W15" s="125"/>
      <c r="X15" s="159" t="s">
        <v>412</v>
      </c>
      <c r="Y15" s="125"/>
      <c r="Z15" s="125"/>
      <c r="AA15" s="125"/>
      <c r="AB15" s="125"/>
      <c r="AC15" s="125"/>
      <c r="AD15" s="168" t="s">
        <v>424</v>
      </c>
      <c r="AE15" s="125"/>
      <c r="AF15" s="125"/>
      <c r="AG15" s="125"/>
      <c r="AH15" s="125"/>
      <c r="AI15" s="125"/>
      <c r="AJ15" s="138"/>
    </row>
    <row r="16" spans="2:36" x14ac:dyDescent="0.2">
      <c r="B16" s="126">
        <f>0.511*10^6</f>
        <v>511000</v>
      </c>
      <c r="C16" s="125">
        <v>12</v>
      </c>
      <c r="D16" s="131" t="s">
        <v>408</v>
      </c>
      <c r="E16" s="123" t="s">
        <v>184</v>
      </c>
      <c r="F16" s="122" t="s">
        <v>432</v>
      </c>
      <c r="G16" s="121" t="s">
        <v>421</v>
      </c>
      <c r="H16" s="119"/>
      <c r="I16" s="119"/>
      <c r="J16" s="128" t="s">
        <v>398</v>
      </c>
      <c r="K16" s="118"/>
      <c r="L16" s="117"/>
      <c r="M16" s="116"/>
      <c r="N16" s="207"/>
      <c r="O16" s="139">
        <v>10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38"/>
    </row>
    <row r="17" spans="2:36" x14ac:dyDescent="0.2">
      <c r="B17" s="126">
        <v>0</v>
      </c>
      <c r="C17" s="125">
        <v>12</v>
      </c>
      <c r="D17" s="131" t="s">
        <v>408</v>
      </c>
      <c r="E17" s="130" t="s">
        <v>407</v>
      </c>
      <c r="F17" s="122" t="s">
        <v>406</v>
      </c>
      <c r="G17" s="118"/>
      <c r="H17" s="119"/>
      <c r="I17" s="119"/>
      <c r="J17" s="128" t="s">
        <v>398</v>
      </c>
      <c r="K17" s="128" t="s">
        <v>398</v>
      </c>
      <c r="L17" s="117"/>
      <c r="M17" s="116"/>
      <c r="N17" s="207"/>
      <c r="O17" s="139">
        <v>11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38"/>
    </row>
    <row r="18" spans="2:36" x14ac:dyDescent="0.2">
      <c r="B18" s="126">
        <f>80.39*10^9</f>
        <v>80390000000</v>
      </c>
      <c r="C18" s="125">
        <v>18</v>
      </c>
      <c r="D18" s="124" t="s">
        <v>382</v>
      </c>
      <c r="E18" s="130" t="s">
        <v>431</v>
      </c>
      <c r="F18" s="122" t="s">
        <v>430</v>
      </c>
      <c r="G18" s="121" t="s">
        <v>421</v>
      </c>
      <c r="H18" s="119"/>
      <c r="I18" s="119"/>
      <c r="J18" s="128" t="s">
        <v>398</v>
      </c>
      <c r="K18" s="128" t="s">
        <v>398</v>
      </c>
      <c r="L18" s="117"/>
      <c r="M18" s="116"/>
      <c r="N18" s="207"/>
      <c r="O18" s="139">
        <v>12</v>
      </c>
      <c r="P18" s="125"/>
      <c r="Q18" s="125"/>
      <c r="R18" s="125"/>
      <c r="S18" s="125"/>
      <c r="T18" s="125"/>
      <c r="U18" s="166" t="s">
        <v>429</v>
      </c>
      <c r="V18" s="125"/>
      <c r="W18" s="125"/>
      <c r="X18" s="125"/>
      <c r="Y18" s="125"/>
      <c r="Z18" s="125"/>
      <c r="AA18" s="167" t="s">
        <v>428</v>
      </c>
      <c r="AB18" s="125"/>
      <c r="AC18" s="125"/>
      <c r="AD18" s="125"/>
      <c r="AE18" s="125"/>
      <c r="AF18" s="125"/>
      <c r="AG18" s="125"/>
      <c r="AH18" s="125"/>
      <c r="AI18" s="125"/>
      <c r="AJ18" s="138"/>
    </row>
    <row r="19" spans="2:36" x14ac:dyDescent="0.2">
      <c r="B19" s="126">
        <f>91.19*10^9</f>
        <v>91190000000</v>
      </c>
      <c r="C19" s="125">
        <v>18</v>
      </c>
      <c r="D19" s="124" t="s">
        <v>382</v>
      </c>
      <c r="E19" s="130" t="s">
        <v>412</v>
      </c>
      <c r="F19" s="122" t="s">
        <v>411</v>
      </c>
      <c r="G19" s="118"/>
      <c r="H19" s="119"/>
      <c r="I19" s="119"/>
      <c r="J19" s="128" t="s">
        <v>398</v>
      </c>
      <c r="K19" s="128" t="s">
        <v>398</v>
      </c>
      <c r="L19" s="132" t="s">
        <v>398</v>
      </c>
      <c r="M19" s="116"/>
      <c r="N19" s="207"/>
      <c r="O19" s="139">
        <v>13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38"/>
    </row>
    <row r="20" spans="2:36" x14ac:dyDescent="0.2">
      <c r="B20" s="126">
        <f>139.57*10^6</f>
        <v>139570000</v>
      </c>
      <c r="C20" s="125">
        <v>24</v>
      </c>
      <c r="D20" s="124" t="s">
        <v>382</v>
      </c>
      <c r="E20" s="133" t="s">
        <v>427</v>
      </c>
      <c r="F20" s="122" t="s">
        <v>426</v>
      </c>
      <c r="G20" s="121" t="s">
        <v>421</v>
      </c>
      <c r="H20" s="119"/>
      <c r="I20" s="119"/>
      <c r="J20" s="128" t="s">
        <v>398</v>
      </c>
      <c r="K20" s="128" t="s">
        <v>398</v>
      </c>
      <c r="L20" s="132" t="s">
        <v>398</v>
      </c>
      <c r="M20" s="116"/>
      <c r="N20" s="207"/>
      <c r="O20" s="139">
        <v>14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38"/>
    </row>
    <row r="21" spans="2:36" x14ac:dyDescent="0.2">
      <c r="B21" s="126">
        <f>134.9766*10^6</f>
        <v>134976600</v>
      </c>
      <c r="C21" s="125">
        <v>24</v>
      </c>
      <c r="D21" s="124" t="s">
        <v>382</v>
      </c>
      <c r="E21" s="133" t="s">
        <v>425</v>
      </c>
      <c r="F21" s="122" t="s">
        <v>415</v>
      </c>
      <c r="G21" s="121" t="s">
        <v>398</v>
      </c>
      <c r="H21" s="119"/>
      <c r="I21" s="119"/>
      <c r="J21" s="128" t="s">
        <v>398</v>
      </c>
      <c r="K21" s="128" t="s">
        <v>398</v>
      </c>
      <c r="L21" s="132" t="s">
        <v>398</v>
      </c>
      <c r="O21" s="139">
        <v>15</v>
      </c>
      <c r="P21" s="125"/>
      <c r="Q21" s="125"/>
      <c r="R21" s="125"/>
      <c r="S21" s="125"/>
      <c r="T21" s="125"/>
      <c r="U21" s="125"/>
      <c r="V21" s="125"/>
      <c r="W21" s="125"/>
      <c r="X21" s="166" t="s">
        <v>424</v>
      </c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65" t="s">
        <v>312</v>
      </c>
    </row>
    <row r="22" spans="2:36" x14ac:dyDescent="0.2">
      <c r="B22" s="126">
        <f>124.97*10^9</f>
        <v>124970000000</v>
      </c>
      <c r="C22" s="125">
        <v>18</v>
      </c>
      <c r="D22" s="131" t="s">
        <v>408</v>
      </c>
      <c r="E22" s="130" t="s">
        <v>322</v>
      </c>
      <c r="F22" s="122" t="s">
        <v>411</v>
      </c>
      <c r="G22" s="118"/>
      <c r="H22" s="119"/>
      <c r="I22" s="119"/>
      <c r="K22" s="118"/>
      <c r="L22" s="134" t="s">
        <v>411</v>
      </c>
      <c r="O22" s="139">
        <v>16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38"/>
    </row>
    <row r="23" spans="2:36" x14ac:dyDescent="0.2">
      <c r="B23" s="126">
        <f>938.272*10^6</f>
        <v>938272000</v>
      </c>
      <c r="C23" s="125">
        <v>36</v>
      </c>
      <c r="D23" s="129" t="s">
        <v>403</v>
      </c>
      <c r="E23" s="133" t="s">
        <v>423</v>
      </c>
      <c r="F23" s="122" t="s">
        <v>422</v>
      </c>
      <c r="G23" s="121" t="s">
        <v>421</v>
      </c>
      <c r="H23" s="119"/>
      <c r="I23" s="119"/>
      <c r="J23" s="128" t="s">
        <v>398</v>
      </c>
      <c r="K23" s="128" t="s">
        <v>398</v>
      </c>
      <c r="L23" s="134" t="s">
        <v>411</v>
      </c>
      <c r="O23" s="139">
        <v>17</v>
      </c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38"/>
    </row>
    <row r="24" spans="2:36" ht="17" thickBot="1" x14ac:dyDescent="0.25">
      <c r="B24" s="115">
        <f>939.565*10^6</f>
        <v>939565000</v>
      </c>
      <c r="C24" s="114">
        <v>36</v>
      </c>
      <c r="D24" s="164" t="s">
        <v>408</v>
      </c>
      <c r="E24" s="163" t="s">
        <v>320</v>
      </c>
      <c r="F24" s="111" t="s">
        <v>418</v>
      </c>
      <c r="G24" s="162" t="s">
        <v>398</v>
      </c>
      <c r="H24" s="109"/>
      <c r="I24" s="109"/>
      <c r="J24" s="161" t="s">
        <v>398</v>
      </c>
      <c r="K24" s="161" t="s">
        <v>398</v>
      </c>
      <c r="L24" s="160" t="s">
        <v>411</v>
      </c>
      <c r="O24" s="139">
        <v>18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59" t="s">
        <v>313</v>
      </c>
      <c r="AH24" s="125"/>
      <c r="AI24" s="125"/>
      <c r="AJ24" s="138"/>
    </row>
    <row r="25" spans="2:36" ht="17" thickBot="1" x14ac:dyDescent="0.25">
      <c r="B25" s="158">
        <v>1.3</v>
      </c>
      <c r="C25" s="157">
        <v>24</v>
      </c>
      <c r="D25" s="156" t="s">
        <v>408</v>
      </c>
      <c r="E25" s="155" t="s">
        <v>420</v>
      </c>
      <c r="F25" s="154" t="s">
        <v>415</v>
      </c>
      <c r="G25" s="153"/>
      <c r="H25" s="152"/>
      <c r="I25" s="152"/>
      <c r="J25" s="151"/>
      <c r="K25" s="150" t="s">
        <v>398</v>
      </c>
      <c r="L25" s="149" t="s">
        <v>411</v>
      </c>
      <c r="O25" s="139">
        <v>19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38"/>
    </row>
    <row r="26" spans="2:36" x14ac:dyDescent="0.2">
      <c r="B26" s="148">
        <f>939.565*10^6</f>
        <v>939565000</v>
      </c>
      <c r="C26" s="147">
        <v>36</v>
      </c>
      <c r="D26" s="146" t="s">
        <v>403</v>
      </c>
      <c r="E26" s="145" t="s">
        <v>419</v>
      </c>
      <c r="F26" s="144" t="s">
        <v>418</v>
      </c>
      <c r="G26" s="143" t="s">
        <v>398</v>
      </c>
      <c r="H26" s="142"/>
      <c r="I26" s="142"/>
      <c r="J26" s="141" t="s">
        <v>398</v>
      </c>
      <c r="K26" s="141" t="s">
        <v>398</v>
      </c>
      <c r="L26" s="140" t="s">
        <v>411</v>
      </c>
      <c r="O26" s="139">
        <v>20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38"/>
    </row>
    <row r="27" spans="2:36" ht="17" thickBot="1" x14ac:dyDescent="0.25">
      <c r="B27" s="126">
        <f>938.272*10^6</f>
        <v>938272000</v>
      </c>
      <c r="C27" s="125">
        <v>36</v>
      </c>
      <c r="D27" s="131" t="s">
        <v>408</v>
      </c>
      <c r="E27" s="133" t="s">
        <v>319</v>
      </c>
      <c r="F27" s="122" t="s">
        <v>417</v>
      </c>
      <c r="G27" s="121" t="s">
        <v>383</v>
      </c>
      <c r="H27" s="119"/>
      <c r="I27" s="119"/>
      <c r="J27" s="128" t="s">
        <v>398</v>
      </c>
      <c r="K27" s="128" t="s">
        <v>398</v>
      </c>
      <c r="L27" s="134" t="s">
        <v>411</v>
      </c>
      <c r="O27" s="137">
        <v>21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36" t="s">
        <v>312</v>
      </c>
      <c r="AE27" s="114"/>
      <c r="AF27" s="114"/>
      <c r="AG27" s="114"/>
      <c r="AH27" s="114"/>
      <c r="AI27" s="114"/>
      <c r="AJ27" s="135"/>
    </row>
    <row r="28" spans="2:36" x14ac:dyDescent="0.2">
      <c r="B28" s="126">
        <f>124.97*10^9</f>
        <v>124970000000</v>
      </c>
      <c r="C28" s="125">
        <v>18</v>
      </c>
      <c r="D28" s="131" t="s">
        <v>408</v>
      </c>
      <c r="E28" s="130" t="s">
        <v>322</v>
      </c>
      <c r="F28" s="122" t="s">
        <v>411</v>
      </c>
      <c r="G28" s="118"/>
      <c r="H28" s="119"/>
      <c r="I28" s="119"/>
      <c r="K28" s="118"/>
      <c r="L28" s="134" t="s">
        <v>411</v>
      </c>
    </row>
    <row r="29" spans="2:36" x14ac:dyDescent="0.2">
      <c r="B29" s="126">
        <f>134.9766*10^6</f>
        <v>134976600</v>
      </c>
      <c r="C29" s="125">
        <v>24</v>
      </c>
      <c r="D29" s="124" t="s">
        <v>382</v>
      </c>
      <c r="E29" s="133" t="s">
        <v>416</v>
      </c>
      <c r="F29" s="122" t="s">
        <v>415</v>
      </c>
      <c r="G29" s="121" t="s">
        <v>398</v>
      </c>
      <c r="H29" s="119"/>
      <c r="I29" s="119"/>
      <c r="J29" s="128" t="s">
        <v>398</v>
      </c>
      <c r="K29" s="128" t="s">
        <v>398</v>
      </c>
      <c r="L29" s="132" t="s">
        <v>398</v>
      </c>
    </row>
    <row r="30" spans="2:36" x14ac:dyDescent="0.2">
      <c r="B30" s="126">
        <f>139.57*10^6</f>
        <v>139570000</v>
      </c>
      <c r="C30" s="125">
        <v>24</v>
      </c>
      <c r="D30" s="124" t="s">
        <v>382</v>
      </c>
      <c r="E30" s="133" t="s">
        <v>414</v>
      </c>
      <c r="F30" s="122" t="s">
        <v>413</v>
      </c>
      <c r="G30" s="121" t="s">
        <v>383</v>
      </c>
      <c r="H30" s="119"/>
      <c r="I30" s="119"/>
      <c r="J30" s="128" t="s">
        <v>398</v>
      </c>
      <c r="K30" s="128" t="s">
        <v>398</v>
      </c>
      <c r="L30" s="132" t="s">
        <v>398</v>
      </c>
    </row>
    <row r="31" spans="2:36" x14ac:dyDescent="0.2">
      <c r="B31" s="126">
        <f>91.19*10^9</f>
        <v>91190000000</v>
      </c>
      <c r="C31" s="125">
        <v>18</v>
      </c>
      <c r="D31" s="124" t="s">
        <v>382</v>
      </c>
      <c r="E31" s="130" t="s">
        <v>412</v>
      </c>
      <c r="F31" s="122" t="s">
        <v>411</v>
      </c>
      <c r="G31" s="118"/>
      <c r="H31" s="119"/>
      <c r="I31" s="119"/>
      <c r="J31" s="128" t="s">
        <v>398</v>
      </c>
      <c r="K31" s="128" t="s">
        <v>398</v>
      </c>
      <c r="L31" s="132" t="s">
        <v>398</v>
      </c>
      <c r="M31" s="116"/>
    </row>
    <row r="32" spans="2:36" x14ac:dyDescent="0.2">
      <c r="B32" s="126">
        <f>80.39*10^9</f>
        <v>80390000000</v>
      </c>
      <c r="C32" s="125">
        <v>18</v>
      </c>
      <c r="D32" s="124" t="s">
        <v>382</v>
      </c>
      <c r="E32" s="130" t="s">
        <v>410</v>
      </c>
      <c r="F32" s="122" t="s">
        <v>409</v>
      </c>
      <c r="G32" s="121" t="s">
        <v>383</v>
      </c>
      <c r="H32" s="119"/>
      <c r="I32" s="119"/>
      <c r="J32" s="128" t="s">
        <v>398</v>
      </c>
      <c r="K32" s="128" t="s">
        <v>398</v>
      </c>
      <c r="L32" s="117"/>
      <c r="M32" s="116"/>
    </row>
    <row r="33" spans="2:13" x14ac:dyDescent="0.2">
      <c r="B33" s="126">
        <v>0</v>
      </c>
      <c r="C33" s="125">
        <v>12</v>
      </c>
      <c r="D33" s="131" t="s">
        <v>408</v>
      </c>
      <c r="E33" s="130" t="s">
        <v>407</v>
      </c>
      <c r="F33" s="122" t="s">
        <v>406</v>
      </c>
      <c r="G33" s="118"/>
      <c r="H33" s="119"/>
      <c r="I33" s="119"/>
      <c r="J33" s="128" t="s">
        <v>398</v>
      </c>
      <c r="K33" s="128" t="s">
        <v>398</v>
      </c>
      <c r="L33" s="117"/>
      <c r="M33" s="116"/>
    </row>
    <row r="34" spans="2:13" x14ac:dyDescent="0.2">
      <c r="B34" s="126">
        <f>0.511*10^6</f>
        <v>511000</v>
      </c>
      <c r="C34" s="125">
        <v>12</v>
      </c>
      <c r="D34" s="129" t="s">
        <v>403</v>
      </c>
      <c r="E34" s="123" t="s">
        <v>405</v>
      </c>
      <c r="F34" s="122" t="s">
        <v>404</v>
      </c>
      <c r="G34" s="121" t="s">
        <v>383</v>
      </c>
      <c r="H34" s="119"/>
      <c r="I34" s="119"/>
      <c r="J34" s="128" t="s">
        <v>398</v>
      </c>
      <c r="K34" s="118"/>
      <c r="L34" s="117"/>
      <c r="M34" s="116"/>
    </row>
    <row r="35" spans="2:13" x14ac:dyDescent="0.2">
      <c r="B35" s="126">
        <v>1</v>
      </c>
      <c r="C35" s="125">
        <v>6</v>
      </c>
      <c r="D35" s="129" t="s">
        <v>403</v>
      </c>
      <c r="E35" s="123" t="s">
        <v>402</v>
      </c>
      <c r="F35" s="122" t="s">
        <v>398</v>
      </c>
      <c r="G35" s="118"/>
      <c r="H35" s="119"/>
      <c r="I35" s="119"/>
      <c r="J35" s="128" t="s">
        <v>398</v>
      </c>
      <c r="K35" s="118"/>
      <c r="L35" s="117"/>
      <c r="M35" s="116"/>
    </row>
    <row r="36" spans="2:13" x14ac:dyDescent="0.2">
      <c r="B36" s="126">
        <f>4.7*10^6</f>
        <v>4700000</v>
      </c>
      <c r="C36" s="125">
        <v>12</v>
      </c>
      <c r="D36" s="124" t="s">
        <v>382</v>
      </c>
      <c r="E36" s="127" t="s">
        <v>401</v>
      </c>
      <c r="F36" s="122" t="s">
        <v>400</v>
      </c>
      <c r="G36" s="121" t="s">
        <v>388</v>
      </c>
      <c r="H36" s="119"/>
      <c r="I36" s="119"/>
      <c r="J36" s="120" t="s">
        <v>398</v>
      </c>
      <c r="K36" s="118"/>
      <c r="L36" s="117"/>
      <c r="M36" s="116"/>
    </row>
    <row r="37" spans="2:13" ht="17" customHeight="1" x14ac:dyDescent="0.2">
      <c r="B37" s="126">
        <f>2.2*10^6</f>
        <v>2200000</v>
      </c>
      <c r="C37" s="125">
        <v>12</v>
      </c>
      <c r="D37" s="124" t="s">
        <v>382</v>
      </c>
      <c r="E37" s="127" t="s">
        <v>198</v>
      </c>
      <c r="F37" s="122" t="s">
        <v>399</v>
      </c>
      <c r="G37" s="121" t="s">
        <v>386</v>
      </c>
      <c r="H37" s="119"/>
      <c r="I37" s="119"/>
      <c r="J37" s="120" t="s">
        <v>398</v>
      </c>
      <c r="K37" s="118"/>
      <c r="L37" s="117"/>
      <c r="M37" s="116"/>
    </row>
    <row r="38" spans="2:13" x14ac:dyDescent="0.2">
      <c r="B38" s="126">
        <f>96*10^6</f>
        <v>96000000</v>
      </c>
      <c r="C38" s="125">
        <v>10</v>
      </c>
      <c r="D38" s="124" t="s">
        <v>382</v>
      </c>
      <c r="E38" s="127" t="s">
        <v>397</v>
      </c>
      <c r="F38" s="122" t="s">
        <v>396</v>
      </c>
      <c r="G38" s="121" t="s">
        <v>388</v>
      </c>
      <c r="H38" s="119"/>
      <c r="I38" s="120" t="s">
        <v>391</v>
      </c>
      <c r="J38" s="118"/>
      <c r="K38" s="118"/>
      <c r="L38" s="117"/>
      <c r="M38" s="116"/>
    </row>
    <row r="39" spans="2:13" x14ac:dyDescent="0.2">
      <c r="B39" s="126">
        <f>1.28*10^9</f>
        <v>1280000000</v>
      </c>
      <c r="C39" s="125">
        <v>10</v>
      </c>
      <c r="D39" s="124" t="s">
        <v>382</v>
      </c>
      <c r="E39" s="127" t="s">
        <v>199</v>
      </c>
      <c r="F39" s="122" t="s">
        <v>395</v>
      </c>
      <c r="G39" s="121" t="s">
        <v>386</v>
      </c>
      <c r="H39" s="119"/>
      <c r="I39" s="120" t="s">
        <v>391</v>
      </c>
      <c r="J39" s="118"/>
      <c r="K39" s="118"/>
      <c r="L39" s="117"/>
      <c r="M39" s="116"/>
    </row>
    <row r="40" spans="2:13" x14ac:dyDescent="0.2">
      <c r="B40" s="126">
        <f>105.66*10^9</f>
        <v>105660000000</v>
      </c>
      <c r="C40" s="125">
        <v>10</v>
      </c>
      <c r="D40" s="124" t="s">
        <v>382</v>
      </c>
      <c r="E40" s="123" t="s">
        <v>394</v>
      </c>
      <c r="F40" s="122" t="s">
        <v>393</v>
      </c>
      <c r="G40" s="121" t="s">
        <v>383</v>
      </c>
      <c r="H40" s="119"/>
      <c r="I40" s="120" t="s">
        <v>391</v>
      </c>
      <c r="J40" s="118"/>
      <c r="K40" s="118"/>
      <c r="L40" s="117"/>
      <c r="M40" s="116"/>
    </row>
    <row r="41" spans="2:13" x14ac:dyDescent="0.2">
      <c r="B41" s="126">
        <f>0.17*10^6</f>
        <v>170000</v>
      </c>
      <c r="C41" s="125">
        <v>4</v>
      </c>
      <c r="D41" s="124" t="s">
        <v>382</v>
      </c>
      <c r="E41" s="123" t="s">
        <v>392</v>
      </c>
      <c r="F41" s="122" t="s">
        <v>391</v>
      </c>
      <c r="G41" s="118"/>
      <c r="H41" s="119"/>
      <c r="I41" s="120" t="s">
        <v>391</v>
      </c>
      <c r="J41" s="118"/>
      <c r="K41" s="118"/>
      <c r="L41" s="117"/>
      <c r="M41" s="116"/>
    </row>
    <row r="42" spans="2:13" x14ac:dyDescent="0.2">
      <c r="B42" s="126">
        <f>4.18*10^9</f>
        <v>4179999999.9999995</v>
      </c>
      <c r="C42" s="125">
        <v>8</v>
      </c>
      <c r="D42" s="124" t="s">
        <v>382</v>
      </c>
      <c r="E42" s="127" t="s">
        <v>390</v>
      </c>
      <c r="F42" s="122" t="s">
        <v>389</v>
      </c>
      <c r="G42" s="121" t="s">
        <v>388</v>
      </c>
      <c r="H42" s="120" t="s">
        <v>380</v>
      </c>
      <c r="I42" s="119"/>
      <c r="J42" s="118"/>
      <c r="K42" s="118"/>
      <c r="L42" s="117"/>
      <c r="M42" s="116"/>
    </row>
    <row r="43" spans="2:13" x14ac:dyDescent="0.2">
      <c r="B43" s="126">
        <f>173.1*10^9</f>
        <v>173100000000</v>
      </c>
      <c r="C43" s="125">
        <v>8</v>
      </c>
      <c r="D43" s="124" t="s">
        <v>382</v>
      </c>
      <c r="E43" s="127" t="s">
        <v>200</v>
      </c>
      <c r="F43" s="122" t="s">
        <v>387</v>
      </c>
      <c r="G43" s="121" t="s">
        <v>386</v>
      </c>
      <c r="H43" s="120" t="s">
        <v>380</v>
      </c>
      <c r="I43" s="119"/>
      <c r="J43" s="118"/>
      <c r="K43" s="118"/>
      <c r="L43" s="117"/>
      <c r="M43" s="116"/>
    </row>
    <row r="44" spans="2:13" x14ac:dyDescent="0.2">
      <c r="B44" s="126">
        <f>1.7768*10^9</f>
        <v>1776800000</v>
      </c>
      <c r="C44" s="125">
        <v>8</v>
      </c>
      <c r="D44" s="124" t="s">
        <v>382</v>
      </c>
      <c r="E44" s="123" t="s">
        <v>385</v>
      </c>
      <c r="F44" s="122" t="s">
        <v>384</v>
      </c>
      <c r="G44" s="121" t="s">
        <v>383</v>
      </c>
      <c r="H44" s="120" t="s">
        <v>380</v>
      </c>
      <c r="I44" s="119"/>
      <c r="J44" s="118"/>
      <c r="K44" s="118"/>
      <c r="L44" s="117"/>
      <c r="M44" s="116"/>
    </row>
    <row r="45" spans="2:13" ht="17" thickBot="1" x14ac:dyDescent="0.25">
      <c r="B45" s="115">
        <f>18.2*10^6</f>
        <v>18200000</v>
      </c>
      <c r="C45" s="114">
        <v>2</v>
      </c>
      <c r="D45" s="113" t="s">
        <v>382</v>
      </c>
      <c r="E45" s="112" t="s">
        <v>381</v>
      </c>
      <c r="F45" s="111" t="s">
        <v>380</v>
      </c>
      <c r="G45" s="108"/>
      <c r="H45" s="110" t="s">
        <v>380</v>
      </c>
      <c r="I45" s="109"/>
      <c r="J45" s="108"/>
      <c r="K45" s="108"/>
      <c r="L45" s="107"/>
    </row>
  </sheetData>
  <mergeCells count="1">
    <mergeCell ref="N7:N20"/>
  </mergeCells>
  <conditionalFormatting sqref="B5:B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5375-0AC3-D745-9F75-61AEE4C5B37F}">
  <dimension ref="A3:K44"/>
  <sheetViews>
    <sheetView topLeftCell="A8" zoomScale="140" zoomScaleNormal="140" workbookViewId="0">
      <selection activeCell="E35" sqref="E35"/>
    </sheetView>
  </sheetViews>
  <sheetFormatPr baseColWidth="10" defaultRowHeight="16" x14ac:dyDescent="0.2"/>
  <cols>
    <col min="3" max="3" width="19.33203125" bestFit="1" customWidth="1"/>
    <col min="13" max="19" width="11.6640625" customWidth="1"/>
    <col min="21" max="30" width="11.6640625" customWidth="1"/>
  </cols>
  <sheetData>
    <row r="3" spans="1:11" ht="17" x14ac:dyDescent="0.2">
      <c r="A3" s="133"/>
      <c r="B3" s="133"/>
      <c r="C3" s="133"/>
      <c r="D3" s="133"/>
      <c r="E3" s="202" t="s">
        <v>382</v>
      </c>
      <c r="F3" s="202" t="s">
        <v>382</v>
      </c>
      <c r="G3" s="202" t="s">
        <v>382</v>
      </c>
      <c r="H3" s="202" t="s">
        <v>408</v>
      </c>
      <c r="I3" s="202" t="s">
        <v>467</v>
      </c>
      <c r="J3" s="202" t="s">
        <v>382</v>
      </c>
      <c r="K3" s="133" t="s">
        <v>408</v>
      </c>
    </row>
    <row r="4" spans="1:11" ht="51" x14ac:dyDescent="0.2">
      <c r="A4" s="133"/>
      <c r="B4" s="133"/>
      <c r="C4" s="133" t="s">
        <v>482</v>
      </c>
      <c r="D4" s="133" t="s">
        <v>473</v>
      </c>
      <c r="E4" s="202" t="s">
        <v>472</v>
      </c>
      <c r="F4" s="202" t="s">
        <v>471</v>
      </c>
      <c r="G4" s="202" t="s">
        <v>470</v>
      </c>
      <c r="H4" s="202" t="s">
        <v>470</v>
      </c>
      <c r="I4" s="202" t="s">
        <v>469</v>
      </c>
      <c r="J4" s="202" t="s">
        <v>481</v>
      </c>
      <c r="K4" s="133"/>
    </row>
    <row r="5" spans="1:11" x14ac:dyDescent="0.2">
      <c r="A5" s="133">
        <v>2</v>
      </c>
      <c r="B5" s="133" t="s">
        <v>382</v>
      </c>
      <c r="C5" s="133" t="s">
        <v>465</v>
      </c>
      <c r="E5" s="201" t="s">
        <v>380</v>
      </c>
      <c r="I5" s="133"/>
      <c r="J5" s="133"/>
      <c r="K5" s="133"/>
    </row>
    <row r="6" spans="1:11" x14ac:dyDescent="0.2">
      <c r="A6" s="133">
        <v>2</v>
      </c>
      <c r="B6" s="133" t="s">
        <v>382</v>
      </c>
      <c r="C6" s="133" t="s">
        <v>381</v>
      </c>
      <c r="E6" s="201" t="s">
        <v>380</v>
      </c>
      <c r="I6" s="133"/>
      <c r="J6" s="133"/>
      <c r="K6" s="133"/>
    </row>
    <row r="7" spans="1:11" x14ac:dyDescent="0.2">
      <c r="A7" s="133">
        <v>8</v>
      </c>
      <c r="B7" s="133"/>
      <c r="C7" s="133" t="s">
        <v>196</v>
      </c>
      <c r="D7" s="198" t="s">
        <v>421</v>
      </c>
      <c r="E7" s="201" t="s">
        <v>380</v>
      </c>
      <c r="I7" s="133"/>
      <c r="J7" s="133"/>
      <c r="K7" s="133"/>
    </row>
    <row r="8" spans="1:11" x14ac:dyDescent="0.2">
      <c r="A8" s="133">
        <v>8</v>
      </c>
      <c r="B8" s="133"/>
      <c r="C8" s="133" t="s">
        <v>462</v>
      </c>
      <c r="D8" s="200" t="s">
        <v>442</v>
      </c>
      <c r="E8" s="201" t="s">
        <v>380</v>
      </c>
      <c r="I8" s="133"/>
      <c r="J8" s="133"/>
      <c r="K8" s="133"/>
    </row>
    <row r="9" spans="1:11" x14ac:dyDescent="0.2">
      <c r="A9" s="133">
        <v>8</v>
      </c>
      <c r="B9" s="133"/>
      <c r="C9" s="133" t="s">
        <v>203</v>
      </c>
      <c r="D9" s="198" t="s">
        <v>437</v>
      </c>
      <c r="E9" s="201" t="s">
        <v>380</v>
      </c>
      <c r="I9" s="133"/>
      <c r="J9" s="133"/>
      <c r="K9" s="133"/>
    </row>
    <row r="10" spans="1:11" x14ac:dyDescent="0.2">
      <c r="A10" s="133">
        <v>8</v>
      </c>
      <c r="B10" s="133"/>
      <c r="C10" s="133" t="s">
        <v>390</v>
      </c>
      <c r="D10" s="198" t="s">
        <v>388</v>
      </c>
      <c r="E10" s="201" t="s">
        <v>380</v>
      </c>
      <c r="I10" s="133"/>
      <c r="J10" s="133"/>
      <c r="K10" s="133"/>
    </row>
    <row r="11" spans="1:11" x14ac:dyDescent="0.2">
      <c r="A11" s="133">
        <v>8</v>
      </c>
      <c r="B11" s="133"/>
      <c r="C11" s="133" t="s">
        <v>200</v>
      </c>
      <c r="D11" s="198" t="s">
        <v>386</v>
      </c>
      <c r="E11" s="201" t="s">
        <v>380</v>
      </c>
      <c r="I11" s="133"/>
      <c r="J11" s="133"/>
      <c r="K11" s="133"/>
    </row>
    <row r="12" spans="1:11" x14ac:dyDescent="0.2">
      <c r="A12" s="133">
        <v>8</v>
      </c>
      <c r="B12" s="133"/>
      <c r="C12" s="133" t="s">
        <v>385</v>
      </c>
      <c r="D12" s="198" t="s">
        <v>383</v>
      </c>
      <c r="E12" s="201" t="s">
        <v>380</v>
      </c>
      <c r="I12" s="133"/>
      <c r="J12" s="133"/>
      <c r="K12" s="133"/>
    </row>
    <row r="13" spans="1:11" x14ac:dyDescent="0.2">
      <c r="A13" s="133">
        <v>4</v>
      </c>
      <c r="B13" s="133" t="s">
        <v>382</v>
      </c>
      <c r="C13" s="133" t="s">
        <v>455</v>
      </c>
      <c r="F13" s="197" t="s">
        <v>391</v>
      </c>
      <c r="I13" s="133"/>
      <c r="J13" s="133"/>
      <c r="K13" s="133"/>
    </row>
    <row r="14" spans="1:11" x14ac:dyDescent="0.2">
      <c r="A14" s="133">
        <v>4</v>
      </c>
      <c r="B14" s="133" t="s">
        <v>382</v>
      </c>
      <c r="C14" s="133" t="s">
        <v>392</v>
      </c>
      <c r="F14" s="197" t="s">
        <v>391</v>
      </c>
      <c r="I14" s="133"/>
      <c r="J14" s="133"/>
      <c r="K14" s="133"/>
    </row>
    <row r="15" spans="1:11" x14ac:dyDescent="0.2">
      <c r="A15" s="133">
        <v>10</v>
      </c>
      <c r="B15" s="133"/>
      <c r="C15" s="133" t="s">
        <v>195</v>
      </c>
      <c r="D15" s="198" t="s">
        <v>421</v>
      </c>
      <c r="F15" s="197" t="s">
        <v>391</v>
      </c>
      <c r="I15" s="133"/>
      <c r="J15" s="133"/>
      <c r="K15" s="133"/>
    </row>
    <row r="16" spans="1:11" x14ac:dyDescent="0.2">
      <c r="A16" s="133">
        <v>10</v>
      </c>
      <c r="B16" s="133"/>
      <c r="C16" s="133" t="s">
        <v>449</v>
      </c>
      <c r="D16" s="200" t="s">
        <v>442</v>
      </c>
      <c r="F16" s="197" t="s">
        <v>391</v>
      </c>
      <c r="I16" s="133"/>
      <c r="J16" s="133"/>
      <c r="K16" s="133"/>
    </row>
    <row r="17" spans="1:11" x14ac:dyDescent="0.2">
      <c r="A17" s="133">
        <v>10</v>
      </c>
      <c r="B17" s="133"/>
      <c r="C17" s="133" t="s">
        <v>202</v>
      </c>
      <c r="D17" s="198" t="s">
        <v>437</v>
      </c>
      <c r="F17" s="197" t="s">
        <v>391</v>
      </c>
      <c r="I17" s="133"/>
      <c r="J17" s="133"/>
      <c r="K17" s="133"/>
    </row>
    <row r="18" spans="1:11" x14ac:dyDescent="0.2">
      <c r="A18" s="133">
        <v>10</v>
      </c>
      <c r="B18" s="133"/>
      <c r="C18" s="133" t="s">
        <v>397</v>
      </c>
      <c r="D18" s="198" t="s">
        <v>388</v>
      </c>
      <c r="F18" s="197" t="s">
        <v>391</v>
      </c>
      <c r="I18" s="133"/>
      <c r="J18" s="133"/>
      <c r="K18" s="133"/>
    </row>
    <row r="19" spans="1:11" x14ac:dyDescent="0.2">
      <c r="A19" s="133">
        <v>10</v>
      </c>
      <c r="B19" s="133"/>
      <c r="C19" s="133" t="s">
        <v>199</v>
      </c>
      <c r="D19" s="198" t="s">
        <v>386</v>
      </c>
      <c r="F19" s="197" t="s">
        <v>391</v>
      </c>
      <c r="I19" s="133"/>
      <c r="J19" s="133"/>
      <c r="K19" s="133"/>
    </row>
    <row r="20" spans="1:11" x14ac:dyDescent="0.2">
      <c r="A20" s="133">
        <v>10</v>
      </c>
      <c r="B20" s="133"/>
      <c r="C20" s="133" t="s">
        <v>394</v>
      </c>
      <c r="D20" s="198" t="s">
        <v>383</v>
      </c>
      <c r="F20" s="197" t="s">
        <v>391</v>
      </c>
      <c r="I20" s="133"/>
      <c r="J20" s="133"/>
      <c r="K20" s="133"/>
    </row>
    <row r="21" spans="1:11" x14ac:dyDescent="0.2">
      <c r="A21" s="133">
        <v>6</v>
      </c>
      <c r="B21" s="133" t="s">
        <v>382</v>
      </c>
      <c r="C21" s="133" t="s">
        <v>434</v>
      </c>
      <c r="G21" s="196" t="s">
        <v>398</v>
      </c>
      <c r="I21" s="133"/>
      <c r="J21" s="133"/>
      <c r="K21" s="133"/>
    </row>
    <row r="22" spans="1:11" x14ac:dyDescent="0.2">
      <c r="A22" s="133">
        <v>6</v>
      </c>
      <c r="B22" s="133" t="s">
        <v>382</v>
      </c>
      <c r="C22" s="133" t="s">
        <v>480</v>
      </c>
      <c r="G22" s="196" t="s">
        <v>398</v>
      </c>
      <c r="I22" s="133"/>
      <c r="J22" s="133"/>
      <c r="K22" s="133"/>
    </row>
    <row r="23" spans="1:11" x14ac:dyDescent="0.2">
      <c r="A23" s="133">
        <v>12</v>
      </c>
      <c r="B23" s="133"/>
      <c r="C23" s="133" t="s">
        <v>444</v>
      </c>
      <c r="D23" s="200" t="s">
        <v>442</v>
      </c>
      <c r="G23" s="196" t="s">
        <v>398</v>
      </c>
      <c r="I23" s="133"/>
      <c r="J23" s="133"/>
      <c r="K23" s="133"/>
    </row>
    <row r="24" spans="1:11" x14ac:dyDescent="0.2">
      <c r="A24" s="133">
        <v>12</v>
      </c>
      <c r="B24" s="133"/>
      <c r="C24" s="133" t="s">
        <v>201</v>
      </c>
      <c r="D24" s="198" t="s">
        <v>437</v>
      </c>
      <c r="G24" s="196" t="s">
        <v>398</v>
      </c>
      <c r="I24" s="133"/>
      <c r="J24" s="133"/>
      <c r="K24" s="133"/>
    </row>
    <row r="25" spans="1:11" x14ac:dyDescent="0.2">
      <c r="A25" s="133">
        <v>12</v>
      </c>
      <c r="B25" s="133"/>
      <c r="C25" s="133" t="s">
        <v>401</v>
      </c>
      <c r="D25" s="198" t="s">
        <v>388</v>
      </c>
      <c r="G25" s="196" t="s">
        <v>398</v>
      </c>
      <c r="I25" s="133"/>
      <c r="J25" s="133"/>
      <c r="K25" s="133"/>
    </row>
    <row r="26" spans="1:11" x14ac:dyDescent="0.2">
      <c r="A26" s="133">
        <v>12</v>
      </c>
      <c r="B26" s="133"/>
      <c r="C26" s="133" t="s">
        <v>198</v>
      </c>
      <c r="D26" s="198" t="s">
        <v>386</v>
      </c>
      <c r="G26" s="196" t="s">
        <v>398</v>
      </c>
      <c r="I26" s="133"/>
      <c r="J26" s="133"/>
      <c r="K26" s="133"/>
    </row>
    <row r="27" spans="1:11" x14ac:dyDescent="0.2">
      <c r="A27" s="133">
        <v>6</v>
      </c>
      <c r="B27" s="133" t="s">
        <v>408</v>
      </c>
      <c r="C27" s="133" t="s">
        <v>434</v>
      </c>
      <c r="H27" s="197" t="s">
        <v>398</v>
      </c>
      <c r="I27" s="133"/>
      <c r="J27" s="133"/>
      <c r="K27" s="133"/>
    </row>
    <row r="28" spans="1:11" x14ac:dyDescent="0.2">
      <c r="A28" s="133">
        <v>6</v>
      </c>
      <c r="B28" s="133" t="s">
        <v>408</v>
      </c>
      <c r="C28" s="133" t="s">
        <v>402</v>
      </c>
      <c r="H28" s="197" t="s">
        <v>398</v>
      </c>
      <c r="I28" s="133"/>
      <c r="J28" s="133"/>
      <c r="K28" s="133"/>
    </row>
    <row r="29" spans="1:11" x14ac:dyDescent="0.2">
      <c r="A29" s="133">
        <v>18</v>
      </c>
      <c r="B29" s="133"/>
      <c r="C29" s="133" t="s">
        <v>184</v>
      </c>
      <c r="D29" s="198" t="s">
        <v>421</v>
      </c>
      <c r="H29" s="197" t="s">
        <v>398</v>
      </c>
      <c r="I29" s="133"/>
      <c r="J29" s="133"/>
      <c r="K29" s="133"/>
    </row>
    <row r="30" spans="1:11" x14ac:dyDescent="0.2">
      <c r="A30" s="133">
        <v>18</v>
      </c>
      <c r="B30" s="133"/>
      <c r="C30" s="133" t="s">
        <v>405</v>
      </c>
      <c r="D30" s="198" t="s">
        <v>383</v>
      </c>
      <c r="H30" s="197" t="s">
        <v>398</v>
      </c>
      <c r="I30" s="133"/>
      <c r="J30" s="133"/>
      <c r="K30" s="133"/>
    </row>
    <row r="31" spans="1:11" x14ac:dyDescent="0.2">
      <c r="A31" s="133">
        <v>12</v>
      </c>
      <c r="B31" s="133"/>
      <c r="C31" s="133" t="s">
        <v>407</v>
      </c>
      <c r="H31" s="197" t="s">
        <v>398</v>
      </c>
      <c r="I31" s="196" t="s">
        <v>398</v>
      </c>
      <c r="J31" s="133"/>
      <c r="K31" s="133"/>
    </row>
    <row r="32" spans="1:11" x14ac:dyDescent="0.2">
      <c r="A32" s="133">
        <v>12</v>
      </c>
      <c r="B32" s="133"/>
      <c r="C32" s="133" t="s">
        <v>479</v>
      </c>
      <c r="H32" s="197" t="s">
        <v>398</v>
      </c>
      <c r="I32" s="196" t="s">
        <v>398</v>
      </c>
      <c r="J32" s="133"/>
      <c r="K32" s="133"/>
    </row>
    <row r="33" spans="1:11" x14ac:dyDescent="0.2">
      <c r="A33" s="133">
        <v>18</v>
      </c>
      <c r="B33" s="133"/>
      <c r="C33" s="133" t="s">
        <v>431</v>
      </c>
      <c r="D33" s="198" t="s">
        <v>421</v>
      </c>
      <c r="H33" s="197" t="s">
        <v>398</v>
      </c>
      <c r="I33" s="196" t="s">
        <v>398</v>
      </c>
      <c r="J33" s="133"/>
      <c r="K33" s="133"/>
    </row>
    <row r="34" spans="1:11" x14ac:dyDescent="0.2">
      <c r="A34" s="133">
        <v>18</v>
      </c>
      <c r="B34" s="133"/>
      <c r="C34" s="133" t="s">
        <v>410</v>
      </c>
      <c r="D34" s="198" t="s">
        <v>383</v>
      </c>
      <c r="H34" s="197" t="s">
        <v>398</v>
      </c>
      <c r="I34" s="196" t="s">
        <v>398</v>
      </c>
      <c r="J34" s="133"/>
      <c r="K34" s="133"/>
    </row>
    <row r="35" spans="1:11" x14ac:dyDescent="0.2">
      <c r="A35" s="133">
        <v>18</v>
      </c>
      <c r="B35" s="133"/>
      <c r="C35" s="133" t="s">
        <v>412</v>
      </c>
      <c r="H35" s="197" t="s">
        <v>398</v>
      </c>
      <c r="I35" s="196" t="s">
        <v>398</v>
      </c>
      <c r="J35" s="199" t="s">
        <v>398</v>
      </c>
      <c r="K35" s="133"/>
    </row>
    <row r="36" spans="1:11" x14ac:dyDescent="0.2">
      <c r="A36" s="133">
        <v>24</v>
      </c>
      <c r="B36" s="133"/>
      <c r="C36" s="133" t="s">
        <v>427</v>
      </c>
      <c r="D36" s="198" t="s">
        <v>421</v>
      </c>
      <c r="H36" s="197" t="s">
        <v>398</v>
      </c>
      <c r="I36" s="196" t="s">
        <v>398</v>
      </c>
      <c r="J36" s="197" t="s">
        <v>398</v>
      </c>
      <c r="K36" s="133"/>
    </row>
    <row r="37" spans="1:11" x14ac:dyDescent="0.2">
      <c r="A37" s="133">
        <v>24</v>
      </c>
      <c r="B37" s="133"/>
      <c r="C37" s="133" t="s">
        <v>425</v>
      </c>
      <c r="D37" s="198" t="s">
        <v>383</v>
      </c>
      <c r="H37" s="197" t="s">
        <v>398</v>
      </c>
      <c r="I37" s="196" t="s">
        <v>398</v>
      </c>
      <c r="J37" s="197" t="s">
        <v>398</v>
      </c>
      <c r="K37" s="133"/>
    </row>
    <row r="38" spans="1:11" x14ac:dyDescent="0.2">
      <c r="A38" s="133">
        <v>24</v>
      </c>
      <c r="B38" s="133"/>
      <c r="C38" s="133" t="s">
        <v>416</v>
      </c>
      <c r="D38" s="198" t="s">
        <v>383</v>
      </c>
      <c r="H38" s="197" t="s">
        <v>398</v>
      </c>
      <c r="I38" s="196" t="s">
        <v>398</v>
      </c>
      <c r="J38" s="197" t="s">
        <v>398</v>
      </c>
      <c r="K38" s="133"/>
    </row>
    <row r="39" spans="1:11" x14ac:dyDescent="0.2">
      <c r="A39" s="133">
        <v>24</v>
      </c>
      <c r="B39" s="133"/>
      <c r="C39" s="133" t="s">
        <v>414</v>
      </c>
      <c r="D39" s="199" t="s">
        <v>398</v>
      </c>
      <c r="H39" s="197" t="s">
        <v>398</v>
      </c>
      <c r="I39" s="196" t="s">
        <v>398</v>
      </c>
      <c r="J39" s="197" t="s">
        <v>398</v>
      </c>
      <c r="K39" s="133"/>
    </row>
    <row r="40" spans="1:11" x14ac:dyDescent="0.2">
      <c r="A40" s="133">
        <v>18</v>
      </c>
      <c r="B40" s="133"/>
      <c r="C40" s="133" t="s">
        <v>322</v>
      </c>
      <c r="K40" s="196" t="s">
        <v>411</v>
      </c>
    </row>
    <row r="41" spans="1:11" x14ac:dyDescent="0.2">
      <c r="A41" s="133">
        <v>36</v>
      </c>
      <c r="B41" s="133"/>
      <c r="C41" s="133" t="s">
        <v>319</v>
      </c>
      <c r="D41" s="198" t="s">
        <v>383</v>
      </c>
      <c r="H41" s="197" t="s">
        <v>398</v>
      </c>
      <c r="I41" s="196" t="s">
        <v>398</v>
      </c>
      <c r="K41" s="196" t="s">
        <v>411</v>
      </c>
    </row>
    <row r="42" spans="1:11" x14ac:dyDescent="0.2">
      <c r="A42" s="133">
        <v>36</v>
      </c>
      <c r="B42" s="133"/>
      <c r="C42" s="133" t="s">
        <v>320</v>
      </c>
      <c r="D42" s="199" t="s">
        <v>398</v>
      </c>
      <c r="H42" s="197" t="s">
        <v>398</v>
      </c>
      <c r="I42" s="196" t="s">
        <v>398</v>
      </c>
      <c r="K42" s="196" t="s">
        <v>411</v>
      </c>
    </row>
    <row r="43" spans="1:11" x14ac:dyDescent="0.2">
      <c r="A43" s="133">
        <v>36</v>
      </c>
      <c r="B43" s="133"/>
      <c r="C43" s="133" t="s">
        <v>419</v>
      </c>
      <c r="D43" s="199" t="s">
        <v>398</v>
      </c>
      <c r="H43" s="197" t="s">
        <v>398</v>
      </c>
      <c r="I43" s="196" t="s">
        <v>398</v>
      </c>
      <c r="K43" s="196" t="s">
        <v>411</v>
      </c>
    </row>
    <row r="44" spans="1:11" x14ac:dyDescent="0.2">
      <c r="A44" s="133">
        <v>36</v>
      </c>
      <c r="B44" s="133"/>
      <c r="C44" s="133" t="s">
        <v>423</v>
      </c>
      <c r="D44" s="198" t="s">
        <v>421</v>
      </c>
      <c r="H44" s="197" t="s">
        <v>398</v>
      </c>
      <c r="I44" s="196" t="s">
        <v>398</v>
      </c>
      <c r="K44" s="196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Constants and Formulas</vt:lpstr>
      <vt:lpstr>Planck Energy</vt:lpstr>
      <vt:lpstr>Velocity</vt:lpstr>
      <vt:lpstr>Lorentz</vt:lpstr>
      <vt:lpstr>Black Hole Core Mass</vt:lpstr>
      <vt:lpstr>Graphene</vt:lpstr>
      <vt:lpstr>mixing angles</vt:lpstr>
      <vt:lpstr>Apparent and Shielded Energy</vt:lpstr>
      <vt:lpstr>dipole radius</vt:lpstr>
      <vt:lpstr>fsc</vt:lpstr>
      <vt:lpstr>Sheet1</vt:lpstr>
      <vt:lpstr>charges per x</vt:lpstr>
      <vt:lpstr>unit tridipole ideas</vt:lpstr>
      <vt:lpstr>spacetime apparent energy</vt:lpstr>
      <vt:lpstr>stdmodelmusings-a</vt:lpstr>
      <vt:lpstr>stdmodelmusings-b</vt:lpstr>
      <vt:lpstr>e mu tau</vt:lpstr>
      <vt:lpstr>u c t</vt:lpstr>
      <vt:lpstr>d s b</vt:lpstr>
      <vt:lpstr>Chart1</vt:lpstr>
      <vt:lpstr>c_</vt:lpstr>
      <vt:lpstr>E</vt:lpstr>
      <vt:lpstr>E0</vt:lpstr>
      <vt:lpstr>Ep</vt:lpstr>
      <vt:lpstr>evperj</vt:lpstr>
      <vt:lpstr>Fp</vt:lpstr>
      <vt:lpstr>fsc</vt:lpstr>
      <vt:lpstr>G</vt:lpstr>
      <vt:lpstr>h</vt:lpstr>
      <vt:lpstr>hbar</vt:lpstr>
      <vt:lpstr>kB</vt:lpstr>
      <vt:lpstr>Ke</vt:lpstr>
      <vt:lpstr>Lp</vt:lpstr>
      <vt:lpstr>Mp</vt:lpstr>
      <vt:lpstr>Ms</vt:lpstr>
      <vt:lpstr>Op</vt:lpstr>
      <vt:lpstr>Tp</vt:lpstr>
      <vt:lpstr>u0</vt:lpstr>
      <vt:lpstr>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Morris</dc:creator>
  <cp:lastModifiedBy>Mark Morris</cp:lastModifiedBy>
  <dcterms:created xsi:type="dcterms:W3CDTF">2019-05-25T02:41:39Z</dcterms:created>
  <dcterms:modified xsi:type="dcterms:W3CDTF">2026-06-14T16:55:16Z</dcterms:modified>
</cp:coreProperties>
</file>