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kmorris/Documents/Theory of Everything/"/>
    </mc:Choice>
  </mc:AlternateContent>
  <xr:revisionPtr revIDLastSave="0" documentId="13_ncr:1_{92C13510-ECD2-764B-8642-C4B0F1B8CB44}" xr6:coauthVersionLast="43" xr6:coauthVersionMax="43" xr10:uidLastSave="{00000000-0000-0000-0000-000000000000}"/>
  <bookViews>
    <workbookView xWindow="0" yWindow="0" windowWidth="33600" windowHeight="21000" activeTab="3" xr2:uid="{95166AEE-36E1-074B-8D83-F1B6785CB936}"/>
  </bookViews>
  <sheets>
    <sheet name="Nuclear Mass" sheetId="1" r:id="rId1"/>
    <sheet name="Lorentz" sheetId="8" r:id="rId2"/>
    <sheet name="Sheet3" sheetId="9" r:id="rId3"/>
    <sheet name="wave energy" sheetId="10" r:id="rId4"/>
    <sheet name="koide" sheetId="2" r:id="rId5"/>
    <sheet name="current zoo" sheetId="4" r:id="rId6"/>
    <sheet name="Sheet1" sheetId="5" r:id="rId7"/>
    <sheet name="Sheet2" sheetId="6" r:id="rId8"/>
    <sheet name="human s-t" sheetId="7" r:id="rId9"/>
    <sheet name="old zoos" sheetId="3" r:id="rId10"/>
  </sheets>
  <definedNames>
    <definedName name="h">'wave energy'!$C$5</definedName>
    <definedName name="hd">'Nuclear Mass'!$H$9</definedName>
    <definedName name="hu">'Nuclear Mass'!$H$8</definedName>
    <definedName name="ld">'Nuclear Mass'!$G$9</definedName>
    <definedName name="lu">'Nuclear Mass'!$G$8</definedName>
    <definedName name="n">'Nuclear Mass'!$C$7</definedName>
    <definedName name="p">'Nuclear Mass'!$C$6</definedName>
    <definedName name="planckl">'wave energy'!$B$5</definedName>
    <definedName name="sol">'wave energy'!$B$4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7" i="10" l="1"/>
  <c r="B19" i="10"/>
  <c r="C19" i="10"/>
  <c r="C5" i="10"/>
  <c r="C21" i="10"/>
  <c r="D21" i="10"/>
  <c r="C11" i="10"/>
  <c r="D19" i="10"/>
  <c r="C9" i="10"/>
  <c r="C16" i="10"/>
  <c r="D16" i="10"/>
  <c r="C17" i="10"/>
  <c r="D17" i="10"/>
  <c r="C18" i="10"/>
  <c r="D18" i="10"/>
  <c r="C8" i="10"/>
  <c r="B15" i="10"/>
  <c r="C15" i="10"/>
  <c r="D15" i="10"/>
  <c r="D5" i="9"/>
  <c r="E5" i="9"/>
  <c r="F5" i="9"/>
  <c r="G5" i="9"/>
  <c r="H5" i="9"/>
  <c r="I5" i="9"/>
  <c r="J5" i="9"/>
  <c r="K5" i="9"/>
  <c r="L5" i="9"/>
  <c r="M5" i="9"/>
  <c r="N5" i="9"/>
  <c r="O5" i="9"/>
  <c r="P5" i="9"/>
  <c r="Q5" i="9"/>
  <c r="R5" i="9"/>
  <c r="D6" i="9"/>
  <c r="E6" i="9"/>
  <c r="F6" i="9"/>
  <c r="G6" i="9"/>
  <c r="H6" i="9"/>
  <c r="I6" i="9"/>
  <c r="J6" i="9"/>
  <c r="K6" i="9"/>
  <c r="L6" i="9"/>
  <c r="M6" i="9"/>
  <c r="N6" i="9"/>
  <c r="O6" i="9"/>
  <c r="P6" i="9"/>
  <c r="Q6" i="9"/>
  <c r="R6" i="9"/>
  <c r="D7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D8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D10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D11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D12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D13" i="9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D14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D15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D16" i="9"/>
  <c r="E16" i="9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D17" i="9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D18" i="9"/>
  <c r="E18" i="9"/>
  <c r="F18" i="9"/>
  <c r="G18" i="9"/>
  <c r="H18" i="9"/>
  <c r="I18" i="9"/>
  <c r="J18" i="9"/>
  <c r="K18" i="9"/>
  <c r="L18" i="9"/>
  <c r="M18" i="9"/>
  <c r="N18" i="9"/>
  <c r="O18" i="9"/>
  <c r="P18" i="9"/>
  <c r="Q18" i="9"/>
  <c r="R18" i="9"/>
  <c r="D19" i="9"/>
  <c r="E19" i="9"/>
  <c r="F19" i="9"/>
  <c r="G19" i="9"/>
  <c r="H19" i="9"/>
  <c r="I19" i="9"/>
  <c r="J19" i="9"/>
  <c r="K19" i="9"/>
  <c r="L19" i="9"/>
  <c r="M19" i="9"/>
  <c r="N19" i="9"/>
  <c r="O19" i="9"/>
  <c r="P19" i="9"/>
  <c r="Q19" i="9"/>
  <c r="R19" i="9"/>
  <c r="D20" i="9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5" i="9"/>
  <c r="L4" i="9"/>
  <c r="M4" i="9"/>
  <c r="N4" i="9"/>
  <c r="O4" i="9"/>
  <c r="P4" i="9"/>
  <c r="Q4" i="9"/>
  <c r="R4" i="9"/>
  <c r="B14" i="9"/>
  <c r="B15" i="9"/>
  <c r="B16" i="9"/>
  <c r="B17" i="9"/>
  <c r="B18" i="9"/>
  <c r="B19" i="9"/>
  <c r="B20" i="9"/>
  <c r="D7" i="8"/>
  <c r="D8" i="8"/>
  <c r="D9" i="8"/>
  <c r="D10" i="8"/>
  <c r="D11" i="8"/>
  <c r="D12" i="8"/>
  <c r="D13" i="8"/>
  <c r="D14" i="8"/>
  <c r="B15" i="8"/>
  <c r="D15" i="8"/>
  <c r="B16" i="8"/>
  <c r="D16" i="8"/>
  <c r="B17" i="8"/>
  <c r="D17" i="8"/>
  <c r="B18" i="8"/>
  <c r="D18" i="8"/>
  <c r="B19" i="8"/>
  <c r="D19" i="8"/>
  <c r="B20" i="8"/>
  <c r="D20" i="8"/>
  <c r="B21" i="8"/>
  <c r="D21" i="8"/>
  <c r="D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6" i="8"/>
  <c r="C46" i="1"/>
  <c r="C44" i="1"/>
  <c r="E8" i="2"/>
  <c r="E5" i="2"/>
  <c r="F6" i="7"/>
  <c r="F7" i="7"/>
  <c r="F17" i="7"/>
  <c r="F8" i="7"/>
  <c r="F18" i="7"/>
  <c r="F9" i="7"/>
  <c r="F19" i="7"/>
  <c r="F20" i="7"/>
  <c r="G6" i="7"/>
  <c r="G7" i="7"/>
  <c r="G17" i="7"/>
  <c r="G8" i="7"/>
  <c r="G18" i="7"/>
  <c r="G9" i="7"/>
  <c r="G19" i="7"/>
  <c r="G20" i="7"/>
  <c r="H6" i="7"/>
  <c r="H7" i="7"/>
  <c r="H17" i="7"/>
  <c r="H8" i="7"/>
  <c r="H18" i="7"/>
  <c r="H9" i="7"/>
  <c r="H19" i="7"/>
  <c r="H20" i="7"/>
  <c r="I7" i="7"/>
  <c r="I17" i="7"/>
  <c r="I8" i="7"/>
  <c r="I18" i="7"/>
  <c r="I9" i="7"/>
  <c r="I19" i="7"/>
  <c r="I20" i="7"/>
  <c r="J20" i="7"/>
  <c r="F22" i="7"/>
  <c r="F23" i="7"/>
  <c r="F24" i="7"/>
  <c r="G22" i="7"/>
  <c r="G23" i="7"/>
  <c r="G24" i="7"/>
  <c r="H22" i="7"/>
  <c r="H23" i="7"/>
  <c r="H24" i="7"/>
  <c r="I22" i="7"/>
  <c r="I23" i="7"/>
  <c r="I24" i="7"/>
  <c r="J24" i="7"/>
  <c r="I6" i="7"/>
  <c r="J6" i="7"/>
  <c r="L20" i="7"/>
  <c r="F26" i="7"/>
  <c r="G26" i="7"/>
  <c r="H26" i="7"/>
  <c r="I26" i="7"/>
  <c r="K26" i="7"/>
  <c r="F27" i="7"/>
  <c r="G27" i="7"/>
  <c r="H27" i="7"/>
  <c r="I27" i="7"/>
  <c r="K27" i="7"/>
  <c r="G29" i="7"/>
  <c r="H29" i="7"/>
  <c r="I29" i="7"/>
  <c r="J29" i="7"/>
  <c r="G30" i="7"/>
  <c r="H30" i="7"/>
  <c r="I30" i="7"/>
  <c r="J30" i="7"/>
  <c r="F30" i="7"/>
  <c r="F29" i="7"/>
  <c r="K20" i="7"/>
  <c r="J22" i="7"/>
  <c r="J23" i="7"/>
  <c r="J18" i="7"/>
  <c r="J19" i="7"/>
  <c r="J17" i="7"/>
  <c r="J7" i="7"/>
  <c r="J9" i="7"/>
  <c r="J8" i="7"/>
  <c r="B3" i="7"/>
  <c r="B6" i="6"/>
  <c r="B7" i="6"/>
  <c r="B8" i="6"/>
  <c r="B9" i="6"/>
  <c r="B10" i="6"/>
  <c r="B11" i="6"/>
  <c r="B4" i="6"/>
  <c r="B5" i="6"/>
  <c r="C4" i="6"/>
  <c r="C7" i="6"/>
  <c r="C8" i="6"/>
  <c r="C9" i="6"/>
  <c r="C10" i="6"/>
  <c r="C11" i="6"/>
  <c r="C6" i="6"/>
  <c r="C5" i="6"/>
  <c r="D32" i="5"/>
  <c r="E32" i="5"/>
  <c r="F32" i="5"/>
  <c r="G32" i="5"/>
  <c r="H32" i="5"/>
  <c r="F31" i="5"/>
  <c r="G31" i="5"/>
  <c r="H31" i="5"/>
  <c r="F30" i="5"/>
  <c r="G30" i="5"/>
  <c r="H30" i="5"/>
  <c r="F26" i="5"/>
  <c r="G26" i="5"/>
  <c r="H26" i="5"/>
  <c r="F27" i="5"/>
  <c r="G27" i="5"/>
  <c r="H27" i="5"/>
  <c r="F6" i="5"/>
  <c r="G6" i="5"/>
  <c r="H6" i="5"/>
  <c r="F7" i="5"/>
  <c r="G7" i="5"/>
  <c r="H7" i="5"/>
  <c r="F8" i="5"/>
  <c r="G8" i="5"/>
  <c r="H8" i="5"/>
  <c r="F9" i="5"/>
  <c r="G9" i="5"/>
  <c r="H9" i="5"/>
  <c r="F10" i="5"/>
  <c r="G10" i="5"/>
  <c r="H10" i="5"/>
  <c r="F11" i="5"/>
  <c r="G11" i="5"/>
  <c r="H11" i="5"/>
  <c r="F12" i="5"/>
  <c r="G12" i="5"/>
  <c r="H12" i="5"/>
  <c r="F13" i="5"/>
  <c r="G13" i="5"/>
  <c r="H13" i="5"/>
  <c r="F14" i="5"/>
  <c r="G14" i="5"/>
  <c r="H14" i="5"/>
  <c r="F15" i="5"/>
  <c r="G15" i="5"/>
  <c r="H15" i="5"/>
  <c r="F16" i="5"/>
  <c r="G16" i="5"/>
  <c r="H16" i="5"/>
  <c r="F17" i="5"/>
  <c r="G17" i="5"/>
  <c r="H17" i="5"/>
  <c r="F18" i="5"/>
  <c r="G18" i="5"/>
  <c r="H18" i="5"/>
  <c r="F19" i="5"/>
  <c r="G19" i="5"/>
  <c r="H19" i="5"/>
  <c r="F20" i="5"/>
  <c r="G20" i="5"/>
  <c r="H20" i="5"/>
  <c r="F21" i="5"/>
  <c r="G21" i="5"/>
  <c r="H21" i="5"/>
  <c r="F22" i="5"/>
  <c r="G22" i="5"/>
  <c r="H22" i="5"/>
  <c r="F23" i="5"/>
  <c r="G23" i="5"/>
  <c r="H23" i="5"/>
  <c r="F5" i="5"/>
  <c r="G5" i="5"/>
  <c r="H5" i="5"/>
  <c r="I43" i="4"/>
  <c r="I62" i="3"/>
  <c r="E14" i="2"/>
  <c r="E11" i="2"/>
  <c r="G8" i="1"/>
  <c r="G18" i="1"/>
  <c r="G9" i="1"/>
  <c r="G19" i="1"/>
  <c r="G21" i="1"/>
  <c r="H18" i="1"/>
  <c r="H9" i="1"/>
  <c r="H19" i="1"/>
  <c r="H21" i="1"/>
  <c r="H8" i="1"/>
  <c r="I18" i="1"/>
  <c r="I19" i="1"/>
  <c r="I21" i="1"/>
  <c r="J18" i="1"/>
  <c r="J19" i="1"/>
  <c r="J21" i="1"/>
  <c r="L21" i="1"/>
  <c r="H24" i="1"/>
  <c r="H26" i="1"/>
  <c r="H25" i="1"/>
  <c r="G22" i="1"/>
  <c r="H22" i="1"/>
  <c r="I22" i="1"/>
  <c r="J22" i="1"/>
  <c r="N22" i="1"/>
  <c r="J24" i="1"/>
  <c r="K24" i="1"/>
  <c r="M22" i="1"/>
  <c r="M21" i="1"/>
  <c r="N21" i="1"/>
  <c r="L22" i="1"/>
  <c r="F17" i="1"/>
  <c r="F19" i="1"/>
  <c r="F16" i="1"/>
  <c r="F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 Morris</author>
  </authors>
  <commentList>
    <comment ref="C21" authorId="0" shapeId="0" xr:uid="{87DD21FB-E7AA-A345-B058-79ECED3FABFB}">
      <text>
        <r>
          <rPr>
            <b/>
            <sz val="10"/>
            <color rgb="FF000000"/>
            <rFont val="Tahoma"/>
            <family val="2"/>
          </rPr>
          <t>Mark Morris: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1.96 agrees with Planck unit page.
</t>
        </r>
        <r>
          <rPr>
            <sz val="10"/>
            <color rgb="FF000000"/>
            <rFont val="Tahoma"/>
            <family val="2"/>
          </rPr>
          <t xml:space="preserve">and Planck energy page.
</t>
        </r>
      </text>
    </comment>
  </commentList>
</comments>
</file>

<file path=xl/sharedStrings.xml><?xml version="1.0" encoding="utf-8"?>
<sst xmlns="http://schemas.openxmlformats.org/spreadsheetml/2006/main" count="835" uniqueCount="447">
  <si>
    <t>This data is from wikipedia</t>
  </si>
  <si>
    <t>Proton</t>
  </si>
  <si>
    <t>Neutron</t>
  </si>
  <si>
    <t>Energy MeV/c2</t>
  </si>
  <si>
    <t>Up Quark</t>
  </si>
  <si>
    <t>Down Quark</t>
  </si>
  <si>
    <t>light</t>
  </si>
  <si>
    <t>heavy</t>
  </si>
  <si>
    <t>Bounding Box</t>
  </si>
  <si>
    <t>Proton-Qs</t>
  </si>
  <si>
    <t>Neutron-Qs</t>
  </si>
  <si>
    <t>min</t>
  </si>
  <si>
    <t>max</t>
  </si>
  <si>
    <t>avg?</t>
  </si>
  <si>
    <t xml:space="preserve">and </t>
  </si>
  <si>
    <t>What generated the quark's?  They are pretty small - are they spontaneous?</t>
  </si>
  <si>
    <t>Or do any other energy forms get created?  like leptons or bosons?</t>
  </si>
  <si>
    <t>I'll need to look at more collision and generation events to see if I can make any sense of this.</t>
  </si>
  <si>
    <t>Yet this is promising.</t>
  </si>
  <si>
    <t>Bubble energy</t>
  </si>
  <si>
    <t>assuming it is the same for both, we want to solve for bubble energy</t>
  </si>
  <si>
    <t>So the bubble energy is between</t>
  </si>
  <si>
    <t>So this kind of says there is some process where energy inputs become a bubble between the energies listed above plus three quarks, and depending on which kind of quarks you get a proton or a neutron</t>
  </si>
  <si>
    <t>Were quark's just floating around waiting to be captured in a bubble?</t>
  </si>
  <si>
    <t>So maybe the bubble itself has got itself over 940 MeV and then it just spontaneously develops some orbiting quarks to reach an equlibrium state?</t>
  </si>
  <si>
    <t>So two bubbles are floating around and combine to pass 940MeV and it scatters out into a proton or a neutron and a smaller bubble which is sent packing</t>
  </si>
  <si>
    <t>3/2/2018 - it is also possible that as the decomposition of the proton and neutron and quarks and bubbles that some energy, perhaps a lot, is carried away on a gravitational wave, that is undetectable to us.</t>
  </si>
  <si>
    <t>Particle</t>
  </si>
  <si>
    <t>u</t>
  </si>
  <si>
    <t>c</t>
  </si>
  <si>
    <t>t</t>
  </si>
  <si>
    <t>d</t>
  </si>
  <si>
    <t>s</t>
  </si>
  <si>
    <t>b</t>
  </si>
  <si>
    <t>e</t>
  </si>
  <si>
    <t>muon</t>
  </si>
  <si>
    <t>tau</t>
  </si>
  <si>
    <t>ve</t>
  </si>
  <si>
    <t>vu</t>
  </si>
  <si>
    <t>vt</t>
  </si>
  <si>
    <t>"Mass"</t>
  </si>
  <si>
    <t>less than</t>
  </si>
  <si>
    <t>Koide</t>
  </si>
  <si>
    <t>Count</t>
  </si>
  <si>
    <t>Configuration</t>
  </si>
  <si>
    <t>Superposition</t>
  </si>
  <si>
    <t>Charge</t>
  </si>
  <si>
    <t>Mass</t>
  </si>
  <si>
    <t>(Wikipedia)</t>
  </si>
  <si>
    <t>Repulsion Interactions</t>
  </si>
  <si>
    <t>Down quark</t>
  </si>
  <si>
    <t>s-s</t>
  </si>
  <si>
    <t>Up antiquark</t>
  </si>
  <si>
    <t>s-s-s</t>
  </si>
  <si>
    <t>Electron</t>
  </si>
  <si>
    <t>s-s-s-s</t>
  </si>
  <si>
    <t>Strange quark</t>
  </si>
  <si>
    <r>
      <t>95 MeV/c</t>
    </r>
    <r>
      <rPr>
        <vertAlign val="superscript"/>
        <sz val="10"/>
        <color theme="1"/>
        <rFont val="Helvetica Neue"/>
        <family val="2"/>
      </rPr>
      <t>2</t>
    </r>
  </si>
  <si>
    <t>s-s-s-s-s</t>
  </si>
  <si>
    <t>Charm antiquark</t>
  </si>
  <si>
    <t>s-s-s-s-s-s</t>
  </si>
  <si>
    <t>Muon</t>
  </si>
  <si>
    <t>s-s-s-s-s-s-s</t>
  </si>
  <si>
    <t>Bottom quark</t>
  </si>
  <si>
    <r>
      <t>4.7 GeV/c</t>
    </r>
    <r>
      <rPr>
        <vertAlign val="superscript"/>
        <sz val="10"/>
        <color theme="1"/>
        <rFont val="Helvetica Neue"/>
        <family val="2"/>
      </rPr>
      <t>2</t>
    </r>
  </si>
  <si>
    <t>s-s-s-s­-s-s-s-s</t>
  </si>
  <si>
    <t>Top antiquark</t>
  </si>
  <si>
    <t>Down antiquark</t>
  </si>
  <si>
    <t>t-t</t>
  </si>
  <si>
    <t>Up quark</t>
  </si>
  <si>
    <t>t-t-t</t>
  </si>
  <si>
    <t>Positron</t>
  </si>
  <si>
    <t>t-t-t-t</t>
  </si>
  <si>
    <t>Strange antiquark</t>
  </si>
  <si>
    <t>t-t-t-t-t</t>
  </si>
  <si>
    <t>Charm quark</t>
  </si>
  <si>
    <r>
      <t>1.28 GeV/c</t>
    </r>
    <r>
      <rPr>
        <vertAlign val="superscript"/>
        <sz val="10"/>
        <color theme="1"/>
        <rFont val="Helvetica Neue"/>
        <family val="2"/>
      </rPr>
      <t>2</t>
    </r>
  </si>
  <si>
    <t>t-t-t-t-t-t</t>
  </si>
  <si>
    <t>Antimuon</t>
  </si>
  <si>
    <t>t-t-t-t-t-t-t</t>
  </si>
  <si>
    <t>Bottom antiquark</t>
  </si>
  <si>
    <t>t-t-t-t-t-t-t-t</t>
  </si>
  <si>
    <t>Top quark</t>
  </si>
  <si>
    <r>
      <t>173.2 GeV/c</t>
    </r>
    <r>
      <rPr>
        <vertAlign val="superscript"/>
        <sz val="10"/>
        <color theme="1"/>
        <rFont val="Helvetica Neue"/>
        <family val="2"/>
      </rPr>
      <t>2</t>
    </r>
  </si>
  <si>
    <t xml:space="preserve"> -2=-1</t>
  </si>
  <si>
    <t xml:space="preserve"> 2=1</t>
  </si>
  <si>
    <t>First attempt (before I realized s and t really could coexist due to separate channels)</t>
  </si>
  <si>
    <t xml:space="preserve"> -1/3</t>
  </si>
  <si>
    <t xml:space="preserve"> -2/3</t>
  </si>
  <si>
    <t xml:space="preserve"> -4/3=-1/3</t>
  </si>
  <si>
    <t xml:space="preserve"> -5/3=-2/3</t>
  </si>
  <si>
    <t xml:space="preserve"> -7/3=-1/3</t>
  </si>
  <si>
    <t xml:space="preserve"> -8/3=-2/3</t>
  </si>
  <si>
    <t xml:space="preserve"> 2/3</t>
  </si>
  <si>
    <t xml:space="preserve"> 4/3=1/3</t>
  </si>
  <si>
    <t xml:space="preserve"> 5/3=2/3</t>
  </si>
  <si>
    <t xml:space="preserve"> 7/3=1/3</t>
  </si>
  <si>
    <t xml:space="preserve"> 8/3=2/3</t>
  </si>
  <si>
    <t xml:space="preserve"> 1/3</t>
  </si>
  <si>
    <t>ss</t>
  </si>
  <si>
    <t>st</t>
  </si>
  <si>
    <t>~4.7 MeV/c2</t>
  </si>
  <si>
    <t>~0.511 MeV/c2</t>
  </si>
  <si>
    <t>~2.2 MeV/c2</t>
  </si>
  <si>
    <t>sstt</t>
  </si>
  <si>
    <t>sssttt</t>
  </si>
  <si>
    <t>dsb?</t>
  </si>
  <si>
    <t xml:space="preserve"> !dsb?</t>
  </si>
  <si>
    <t xml:space="preserve"> !uct</t>
  </si>
  <si>
    <t>uct</t>
  </si>
  <si>
    <t>1s</t>
  </si>
  <si>
    <t>3s1t</t>
  </si>
  <si>
    <t>1t</t>
  </si>
  <si>
    <t>1s3t</t>
  </si>
  <si>
    <t>3s</t>
  </si>
  <si>
    <t>3t</t>
  </si>
  <si>
    <t>1s1t</t>
  </si>
  <si>
    <t>3s3t</t>
  </si>
  <si>
    <t>how do the short lived quarks degrade? that will help to figure this out</t>
  </si>
  <si>
    <t>w</t>
  </si>
  <si>
    <t>z</t>
  </si>
  <si>
    <t>h</t>
  </si>
  <si>
    <t>unstable</t>
  </si>
  <si>
    <t>why + or - charge?</t>
  </si>
  <si>
    <t>possible reasons for instability - too much repulsion, what else?</t>
  </si>
  <si>
    <t>Very specific energies could be required to find stable orbits</t>
  </si>
  <si>
    <t>tt</t>
  </si>
  <si>
    <t>sss</t>
  </si>
  <si>
    <t>ttt</t>
  </si>
  <si>
    <t>4.8 MeV/c2</t>
  </si>
  <si>
    <t>2.3 MeV/c2</t>
  </si>
  <si>
    <t>1.28 GeV/c2</t>
  </si>
  <si>
    <t>3s6t</t>
  </si>
  <si>
    <t>6s3t</t>
  </si>
  <si>
    <t>6s1t</t>
  </si>
  <si>
    <t>s*st</t>
  </si>
  <si>
    <t>s*sstt</t>
  </si>
  <si>
    <t xml:space="preserve">s*sssttt </t>
  </si>
  <si>
    <t>st*t</t>
  </si>
  <si>
    <t>sstt*t</t>
  </si>
  <si>
    <t>sssttt*t</t>
  </si>
  <si>
    <t>ss*st</t>
  </si>
  <si>
    <t xml:space="preserve">ss*sstt </t>
  </si>
  <si>
    <t>st*tt</t>
  </si>
  <si>
    <t>sstt*tt</t>
  </si>
  <si>
    <t>80.4 GeV/c2</t>
  </si>
  <si>
    <t>91.2 GeV/c2</t>
  </si>
  <si>
    <t>125.1 GeV/c2</t>
  </si>
  <si>
    <t>need to look at the actual event energies and products and masses</t>
  </si>
  <si>
    <t>Name</t>
  </si>
  <si>
    <t>&lt;2eV</t>
  </si>
  <si>
    <t>Electron antineutrino</t>
  </si>
  <si>
    <t>Electron neutrino</t>
  </si>
  <si>
    <t>W</t>
  </si>
  <si>
    <t>Z</t>
  </si>
  <si>
    <t>H</t>
  </si>
  <si>
    <t>sw</t>
  </si>
  <si>
    <t>sz</t>
  </si>
  <si>
    <t>sh</t>
  </si>
  <si>
    <t>tw</t>
  </si>
  <si>
    <t>tz</t>
  </si>
  <si>
    <t>th</t>
  </si>
  <si>
    <t>ssw</t>
  </si>
  <si>
    <t>ssz</t>
  </si>
  <si>
    <t>ttw</t>
  </si>
  <si>
    <t>ttz</t>
  </si>
  <si>
    <t>1s6t</t>
  </si>
  <si>
    <t>Tau</t>
  </si>
  <si>
    <t>sss-sss</t>
  </si>
  <si>
    <t>ttt-ttt</t>
  </si>
  <si>
    <t>flows through sfm</t>
  </si>
  <si>
    <t>flows through tfm</t>
  </si>
  <si>
    <t>stable</t>
  </si>
  <si>
    <t>173.2 GeV/c2</t>
  </si>
  <si>
    <t>95 MeV/c2</t>
  </si>
  <si>
    <t>4.7 GeV/c2</t>
  </si>
  <si>
    <t>do these exist or is space time contributing them?</t>
  </si>
  <si>
    <t>0 (+1/3)</t>
  </si>
  <si>
    <t xml:space="preserve"> +1 or -1 ?  (0?)</t>
  </si>
  <si>
    <t>Gluon</t>
  </si>
  <si>
    <t>does it even exist? or is spacetime providing this function</t>
  </si>
  <si>
    <t>ss*sssttt</t>
  </si>
  <si>
    <t>24s3t</t>
  </si>
  <si>
    <t>ssh</t>
  </si>
  <si>
    <t>Muon antineutrino</t>
  </si>
  <si>
    <t>0 (-2/3)</t>
  </si>
  <si>
    <t>tth</t>
  </si>
  <si>
    <t>sssttt*tt</t>
  </si>
  <si>
    <t>Muon neutrino</t>
  </si>
  <si>
    <t>3s24t</t>
  </si>
  <si>
    <t>sss-sss-sss</t>
  </si>
  <si>
    <t>ttt-ttt-ttt</t>
  </si>
  <si>
    <t>AntiMuon</t>
  </si>
  <si>
    <t>AntiTau</t>
  </si>
  <si>
    <t>&lt;190KeV/c2</t>
  </si>
  <si>
    <t>Tau Neutrino</t>
  </si>
  <si>
    <t>Tau Antineutrino</t>
  </si>
  <si>
    <t>tfm &gt; electron</t>
  </si>
  <si>
    <t>sfm &gt; positron</t>
  </si>
  <si>
    <t>???</t>
  </si>
  <si>
    <t>Down AntiUp Meson</t>
  </si>
  <si>
    <t>Up AntiUp Meson</t>
  </si>
  <si>
    <t>Down AntiDown Meson</t>
  </si>
  <si>
    <t>Up AntiDown Meson</t>
  </si>
  <si>
    <t>Repel Interactions</t>
  </si>
  <si>
    <t>120s</t>
  </si>
  <si>
    <t>120t</t>
  </si>
  <si>
    <t>40320s</t>
  </si>
  <si>
    <t>40320t</t>
  </si>
  <si>
    <t>Boson Notation</t>
  </si>
  <si>
    <t xml:space="preserve">s-st, ss-st </t>
  </si>
  <si>
    <t xml:space="preserve">st-tt, ss-st </t>
  </si>
  <si>
    <t xml:space="preserve">s-st, st-t </t>
  </si>
  <si>
    <t xml:space="preserve">st-tt, st-t </t>
  </si>
  <si>
    <t xml:space="preserve">s-w, ss-w </t>
  </si>
  <si>
    <t xml:space="preserve">s-w, w-t </t>
  </si>
  <si>
    <t xml:space="preserve">w-tt, ss-w </t>
  </si>
  <si>
    <t xml:space="preserve">w-tt, w-t </t>
  </si>
  <si>
    <t>24s1t</t>
  </si>
  <si>
    <t>6s6t</t>
  </si>
  <si>
    <t xml:space="preserve">  -1</t>
  </si>
  <si>
    <t xml:space="preserve">  +1</t>
  </si>
  <si>
    <t>Anti-Particles (red) are flipped in the networks.</t>
  </si>
  <si>
    <t>-1/3</t>
  </si>
  <si>
    <t xml:space="preserve">100% sss/ = e- max </t>
  </si>
  <si>
    <t>100% ss/ &gt; W-</t>
  </si>
  <si>
    <t>100% s/</t>
  </si>
  <si>
    <t>80% ss/ + ss/t = W-</t>
  </si>
  <si>
    <t>75% sss/t = anti u</t>
  </si>
  <si>
    <t>67% ss/t &gt; W-</t>
  </si>
  <si>
    <t xml:space="preserve">60% sss/tt = d </t>
  </si>
  <si>
    <t>50% s/t Majorana electron neutrino s energy &gt; t</t>
  </si>
  <si>
    <t>50% ss/tt Z  s energy &gt; t</t>
  </si>
  <si>
    <t>50% sss/ttt Higgs, g, (also spacetime matrix cell)</t>
  </si>
  <si>
    <t>50% ss/tt Z t energy &gt; s</t>
  </si>
  <si>
    <t>50% s/t Majorana electron anti neutrino t energy &gt; s</t>
  </si>
  <si>
    <t>60% ss/ttt = anti d</t>
  </si>
  <si>
    <t>67% s/tt &gt; W+</t>
  </si>
  <si>
    <t>75% s/ttt = u</t>
  </si>
  <si>
    <t>80% /tt + s/tt = W+</t>
  </si>
  <si>
    <t>100% /t</t>
  </si>
  <si>
    <t>100% /tt &gt; W+</t>
  </si>
  <si>
    <t xml:space="preserve">100% /ttt = e+  </t>
  </si>
  <si>
    <t>symbol</t>
  </si>
  <si>
    <t>e-</t>
  </si>
  <si>
    <t>formula</t>
  </si>
  <si>
    <t>sss/</t>
  </si>
  <si>
    <t>ss/</t>
  </si>
  <si>
    <t>s/</t>
  </si>
  <si>
    <t>ssss/t</t>
  </si>
  <si>
    <t>sss/t</t>
  </si>
  <si>
    <t>ss/t</t>
  </si>
  <si>
    <t>sss/tt</t>
  </si>
  <si>
    <t>s/t</t>
  </si>
  <si>
    <t>ss/tt</t>
  </si>
  <si>
    <t>sss/ttt</t>
  </si>
  <si>
    <t>ss/ttt</t>
  </si>
  <si>
    <t>s/tt</t>
  </si>
  <si>
    <t>s/ttt</t>
  </si>
  <si>
    <t>s/tttt</t>
  </si>
  <si>
    <t>/t</t>
  </si>
  <si>
    <t>/tt</t>
  </si>
  <si>
    <t>/ttt</t>
  </si>
  <si>
    <t>%s</t>
  </si>
  <si>
    <t>%t</t>
  </si>
  <si>
    <t>sum</t>
  </si>
  <si>
    <t>sss/tttt</t>
  </si>
  <si>
    <t>ssss/ttt</t>
  </si>
  <si>
    <t>this is not accurate, because standard model gives average of W+ and W-</t>
  </si>
  <si>
    <t>if all s and t have same energy then channel is %s plus s-t mass plus energy?</t>
  </si>
  <si>
    <t>Notes</t>
  </si>
  <si>
    <t>Get precise mass from the particle group for this model</t>
  </si>
  <si>
    <t>W-</t>
  </si>
  <si>
    <t>e+</t>
  </si>
  <si>
    <t>a</t>
  </si>
  <si>
    <t>!d</t>
  </si>
  <si>
    <t>!u</t>
  </si>
  <si>
    <t>charge</t>
  </si>
  <si>
    <t>-3/3</t>
  </si>
  <si>
    <t>-2/3</t>
  </si>
  <si>
    <t>0</t>
  </si>
  <si>
    <t>1/3</t>
  </si>
  <si>
    <t>2/3</t>
  </si>
  <si>
    <t>3/3</t>
  </si>
  <si>
    <t>Tau neutrino</t>
  </si>
  <si>
    <t>What is the formula for channel = f(strong, electromag, weak, gravity) = f(%s, charge, %t, volume) plus the strength of each field. no gravity here, right?</t>
  </si>
  <si>
    <t>v + d</t>
  </si>
  <si>
    <t>v + !d</t>
  </si>
  <si>
    <t>Nominal Orbit</t>
  </si>
  <si>
    <t>c+d</t>
  </si>
  <si>
    <t>a+b</t>
  </si>
  <si>
    <t>v + Z or H?</t>
  </si>
  <si>
    <t>There are all kinds of other particles that could be at different heights!</t>
  </si>
  <si>
    <t>H - proton - udu</t>
  </si>
  <si>
    <t>P1</t>
  </si>
  <si>
    <t>sssss/tttttttt</t>
  </si>
  <si>
    <t>D - Heavy Water - proton/neutron - udu + dud</t>
  </si>
  <si>
    <t>N0</t>
  </si>
  <si>
    <t>sssssss/ttttttt</t>
  </si>
  <si>
    <t>Neutron - dud</t>
  </si>
  <si>
    <t>P1 + N0</t>
  </si>
  <si>
    <t>12s/15t</t>
  </si>
  <si>
    <t>anti-d</t>
  </si>
  <si>
    <t>anti-u</t>
  </si>
  <si>
    <t>H Higgs</t>
  </si>
  <si>
    <t xml:space="preserve">S Min / T Max Channel - Weak Force </t>
  </si>
  <si>
    <t>S Max / T Min - Channel - Electromagnetic Force</t>
  </si>
  <si>
    <r>
      <t>W</t>
    </r>
    <r>
      <rPr>
        <b/>
        <sz val="14"/>
        <color theme="1"/>
        <rFont val="Calibri"/>
        <family val="2"/>
        <scheme val="minor"/>
      </rPr>
      <t>c</t>
    </r>
  </si>
  <si>
    <r>
      <t>W</t>
    </r>
    <r>
      <rPr>
        <b/>
        <sz val="14"/>
        <color theme="1"/>
        <rFont val="Calibri"/>
        <family val="2"/>
        <scheme val="minor"/>
      </rPr>
      <t>d</t>
    </r>
  </si>
  <si>
    <r>
      <t>W</t>
    </r>
    <r>
      <rPr>
        <b/>
        <sz val="14"/>
        <color theme="1"/>
        <rFont val="Calibri"/>
        <family val="2"/>
        <scheme val="minor"/>
      </rPr>
      <t>a</t>
    </r>
  </si>
  <si>
    <r>
      <t>W</t>
    </r>
    <r>
      <rPr>
        <b/>
        <sz val="14"/>
        <color theme="1"/>
        <rFont val="Calibri"/>
        <family val="2"/>
        <scheme val="minor"/>
      </rPr>
      <t>b</t>
    </r>
  </si>
  <si>
    <t>Muon neutrino?</t>
  </si>
  <si>
    <t>Approximate number of nucleons in a rough sphere from a cubic matrix</t>
  </si>
  <si>
    <t>Volume in cells</t>
  </si>
  <si>
    <t>diameter</t>
  </si>
  <si>
    <t xml:space="preserve">atoms typical 70kg human has </t>
  </si>
  <si>
    <t>hydrogen</t>
  </si>
  <si>
    <t>oxygen</t>
  </si>
  <si>
    <t>carbon</t>
  </si>
  <si>
    <t>other</t>
  </si>
  <si>
    <t>atom types</t>
  </si>
  <si>
    <t>proton</t>
  </si>
  <si>
    <t>neutron</t>
  </si>
  <si>
    <t>electron</t>
  </si>
  <si>
    <t>total</t>
  </si>
  <si>
    <t>atoms</t>
  </si>
  <si>
    <t>s from proton</t>
  </si>
  <si>
    <t>s from neutron</t>
  </si>
  <si>
    <t>s from electron</t>
  </si>
  <si>
    <t>s total</t>
  </si>
  <si>
    <t>t from proton</t>
  </si>
  <si>
    <t>t from neutron</t>
  </si>
  <si>
    <t>t total</t>
  </si>
  <si>
    <t>s per proton</t>
  </si>
  <si>
    <t>t per proton</t>
  </si>
  <si>
    <t>s per neutron</t>
  </si>
  <si>
    <t>t per neutron</t>
  </si>
  <si>
    <t>s per electron</t>
  </si>
  <si>
    <t>neutrons per atom</t>
  </si>
  <si>
    <t>protons, electrons per atom</t>
  </si>
  <si>
    <t>s per atom</t>
  </si>
  <si>
    <t>t per atom</t>
  </si>
  <si>
    <t>s per atom percent</t>
  </si>
  <si>
    <t>t per atom percent</t>
  </si>
  <si>
    <t>Number of Nucleons (cells*2)</t>
  </si>
  <si>
    <t>Neutrino</t>
  </si>
  <si>
    <t>P+e =</t>
  </si>
  <si>
    <t>v</t>
  </si>
  <si>
    <t>1/Lorentz</t>
  </si>
  <si>
    <t>sqrt(1-v^2/c^2)</t>
  </si>
  <si>
    <t>v2/c</t>
  </si>
  <si>
    <t>v1/c</t>
  </si>
  <si>
    <t>This is from e=mv2, lorentz, and volume of a sphere</t>
  </si>
  <si>
    <t>Constants</t>
  </si>
  <si>
    <t xml:space="preserve">c </t>
  </si>
  <si>
    <t>wavelength</t>
  </si>
  <si>
    <t>meters</t>
  </si>
  <si>
    <t>energy</t>
  </si>
  <si>
    <t>eV</t>
  </si>
  <si>
    <t>frequency</t>
  </si>
  <si>
    <t>comparison</t>
  </si>
  <si>
    <t>properties</t>
  </si>
  <si>
    <t>Joules</t>
  </si>
  <si>
    <t>Hertz</t>
  </si>
  <si>
    <t>in real world</t>
  </si>
  <si>
    <t>0.1602 aJ</t>
  </si>
  <si>
    <t>241.8 THz</t>
  </si>
  <si>
    <t>1.2398 μm</t>
  </si>
  <si>
    <t>near infrared photon</t>
  </si>
  <si>
    <t>for comparison</t>
  </si>
  <si>
    <t>Very-high-energy gamma rays</t>
  </si>
  <si>
    <t>100 GeV</t>
  </si>
  <si>
    <r>
      <t>1 × 10</t>
    </r>
    <r>
      <rPr>
        <vertAlign val="superscript"/>
        <sz val="11"/>
        <color rgb="FF222222"/>
        <rFont val="Arial"/>
        <family val="2"/>
      </rPr>
      <t>11</t>
    </r>
  </si>
  <si>
    <t>0.01602 μJ</t>
  </si>
  <si>
    <r>
      <t>1.2 × 10</t>
    </r>
    <r>
      <rPr>
        <vertAlign val="superscript"/>
        <sz val="11"/>
        <color rgb="FF222222"/>
        <rFont val="Arial"/>
        <family val="2"/>
      </rPr>
      <t>−17</t>
    </r>
    <r>
      <rPr>
        <sz val="14"/>
        <color rgb="FF222222"/>
        <rFont val="Arial"/>
        <family val="2"/>
      </rPr>
      <t> m</t>
    </r>
  </si>
  <si>
    <t>Z boson</t>
  </si>
  <si>
    <t>1 TeV</t>
  </si>
  <si>
    <r>
      <t>1 × 10</t>
    </r>
    <r>
      <rPr>
        <vertAlign val="superscript"/>
        <sz val="11"/>
        <color rgb="FF222222"/>
        <rFont val="Arial"/>
        <family val="2"/>
      </rPr>
      <t>12</t>
    </r>
  </si>
  <si>
    <t>0.1602 μJ</t>
  </si>
  <si>
    <r>
      <t>2.42 × 10</t>
    </r>
    <r>
      <rPr>
        <vertAlign val="superscript"/>
        <sz val="11"/>
        <color rgb="FF222222"/>
        <rFont val="Arial"/>
        <family val="2"/>
      </rPr>
      <t>26</t>
    </r>
    <r>
      <rPr>
        <sz val="14"/>
        <color rgb="FF222222"/>
        <rFont val="Arial"/>
        <family val="2"/>
      </rPr>
      <t> Hz</t>
    </r>
  </si>
  <si>
    <r>
      <t>1.2 × 10</t>
    </r>
    <r>
      <rPr>
        <vertAlign val="superscript"/>
        <sz val="11"/>
        <color rgb="FF222222"/>
        <rFont val="Arial"/>
        <family val="2"/>
      </rPr>
      <t>−18</t>
    </r>
    <r>
      <rPr>
        <sz val="14"/>
        <color rgb="FF222222"/>
        <rFont val="Arial"/>
        <family val="2"/>
      </rPr>
      <t> m</t>
    </r>
  </si>
  <si>
    <t>flying mosquito</t>
  </si>
  <si>
    <t>produces Cherenkov light</t>
  </si>
  <si>
    <t>10 TeV</t>
  </si>
  <si>
    <t>1.602 μJ</t>
  </si>
  <si>
    <r>
      <t>2.42 × 10</t>
    </r>
    <r>
      <rPr>
        <vertAlign val="superscript"/>
        <sz val="11"/>
        <color rgb="FF222222"/>
        <rFont val="Arial"/>
        <family val="2"/>
      </rPr>
      <t>27</t>
    </r>
    <r>
      <rPr>
        <sz val="14"/>
        <color rgb="FF222222"/>
        <rFont val="Arial"/>
        <family val="2"/>
      </rPr>
      <t> Hz</t>
    </r>
  </si>
  <si>
    <t>air shower reaches ground</t>
  </si>
  <si>
    <t>100 TeV</t>
  </si>
  <si>
    <r>
      <t>1 × 10</t>
    </r>
    <r>
      <rPr>
        <vertAlign val="superscript"/>
        <sz val="11"/>
        <color rgb="FF222222"/>
        <rFont val="Arial"/>
        <family val="2"/>
      </rPr>
      <t>14</t>
    </r>
  </si>
  <si>
    <t>0.01602 mJ</t>
  </si>
  <si>
    <r>
      <t>2.42 × 10</t>
    </r>
    <r>
      <rPr>
        <vertAlign val="superscript"/>
        <sz val="11"/>
        <color rgb="FF222222"/>
        <rFont val="Arial"/>
        <family val="2"/>
      </rPr>
      <t>28</t>
    </r>
    <r>
      <rPr>
        <sz val="14"/>
        <color rgb="FF222222"/>
        <rFont val="Arial"/>
        <family val="2"/>
      </rPr>
      <t> Hz</t>
    </r>
  </si>
  <si>
    <r>
      <t>1.2 × 10</t>
    </r>
    <r>
      <rPr>
        <vertAlign val="superscript"/>
        <sz val="11"/>
        <color rgb="FF222222"/>
        <rFont val="Arial"/>
        <family val="2"/>
      </rPr>
      <t>−20</t>
    </r>
    <r>
      <rPr>
        <sz val="14"/>
        <color rgb="FF222222"/>
        <rFont val="Arial"/>
        <family val="2"/>
      </rPr>
      <t> m</t>
    </r>
  </si>
  <si>
    <t>ping pong ball falling off a bat</t>
  </si>
  <si>
    <t>causes nitrogen to fluoresce</t>
  </si>
  <si>
    <t>Ultra-high-energy gamma rays</t>
  </si>
  <si>
    <t>1 PeV</t>
  </si>
  <si>
    <r>
      <t>1 × 10</t>
    </r>
    <r>
      <rPr>
        <vertAlign val="superscript"/>
        <sz val="11"/>
        <color rgb="FF222222"/>
        <rFont val="Arial"/>
        <family val="2"/>
      </rPr>
      <t>15</t>
    </r>
  </si>
  <si>
    <t>0.1602 mJ</t>
  </si>
  <si>
    <r>
      <t>2.42 × 10</t>
    </r>
    <r>
      <rPr>
        <vertAlign val="superscript"/>
        <sz val="11"/>
        <color rgb="FF222222"/>
        <rFont val="Arial"/>
        <family val="2"/>
      </rPr>
      <t>29</t>
    </r>
    <r>
      <rPr>
        <sz val="14"/>
        <color rgb="FF222222"/>
        <rFont val="Arial"/>
        <family val="2"/>
      </rPr>
      <t> Hz</t>
    </r>
  </si>
  <si>
    <r>
      <t>1.2 × 10</t>
    </r>
    <r>
      <rPr>
        <vertAlign val="superscript"/>
        <sz val="11"/>
        <color rgb="FF222222"/>
        <rFont val="Arial"/>
        <family val="2"/>
      </rPr>
      <t>−21</t>
    </r>
    <r>
      <rPr>
        <sz val="14"/>
        <color rgb="FF222222"/>
        <rFont val="Arial"/>
        <family val="2"/>
      </rPr>
      <t> m</t>
    </r>
  </si>
  <si>
    <t>10 PeV</t>
  </si>
  <si>
    <t>1.602 mJ</t>
  </si>
  <si>
    <r>
      <t>2.42 × 10</t>
    </r>
    <r>
      <rPr>
        <vertAlign val="superscript"/>
        <sz val="11"/>
        <color rgb="FF222222"/>
        <rFont val="Arial"/>
        <family val="2"/>
      </rPr>
      <t>30</t>
    </r>
    <r>
      <rPr>
        <sz val="14"/>
        <color rgb="FF222222"/>
        <rFont val="Arial"/>
        <family val="2"/>
      </rPr>
      <t> Hz</t>
    </r>
  </si>
  <si>
    <t>potential energy of golf ball on a tee</t>
  </si>
  <si>
    <t>100 PeV</t>
  </si>
  <si>
    <r>
      <t>1 × 10</t>
    </r>
    <r>
      <rPr>
        <vertAlign val="superscript"/>
        <sz val="11"/>
        <color rgb="FF222222"/>
        <rFont val="Arial"/>
        <family val="2"/>
      </rPr>
      <t>17</t>
    </r>
  </si>
  <si>
    <t>0.01602 J</t>
  </si>
  <si>
    <r>
      <t>2.42 × 10</t>
    </r>
    <r>
      <rPr>
        <vertAlign val="superscript"/>
        <sz val="11"/>
        <color rgb="FF222222"/>
        <rFont val="Arial"/>
        <family val="2"/>
      </rPr>
      <t>31</t>
    </r>
    <r>
      <rPr>
        <sz val="14"/>
        <color rgb="FF222222"/>
        <rFont val="Arial"/>
        <family val="2"/>
      </rPr>
      <t> Hz</t>
    </r>
  </si>
  <si>
    <r>
      <t>1.2 × 10</t>
    </r>
    <r>
      <rPr>
        <vertAlign val="superscript"/>
        <sz val="11"/>
        <color rgb="FF222222"/>
        <rFont val="Arial"/>
        <family val="2"/>
      </rPr>
      <t>−23</t>
    </r>
    <r>
      <rPr>
        <sz val="14"/>
        <color rgb="FF222222"/>
        <rFont val="Arial"/>
        <family val="2"/>
      </rPr>
      <t> m</t>
    </r>
  </si>
  <si>
    <t>penetrate geomagnetic field</t>
  </si>
  <si>
    <t>1 EeV</t>
  </si>
  <si>
    <r>
      <t>1 × 10</t>
    </r>
    <r>
      <rPr>
        <vertAlign val="superscript"/>
        <sz val="11"/>
        <color rgb="FF222222"/>
        <rFont val="Arial"/>
        <family val="2"/>
      </rPr>
      <t>18</t>
    </r>
  </si>
  <si>
    <t>0.1602 J</t>
  </si>
  <si>
    <r>
      <t>2.42 × 10</t>
    </r>
    <r>
      <rPr>
        <vertAlign val="superscript"/>
        <sz val="11"/>
        <color rgb="FF222222"/>
        <rFont val="Arial"/>
        <family val="2"/>
      </rPr>
      <t>32</t>
    </r>
    <r>
      <rPr>
        <sz val="14"/>
        <color rgb="FF222222"/>
        <rFont val="Arial"/>
        <family val="2"/>
      </rPr>
      <t> Hz</t>
    </r>
  </si>
  <si>
    <r>
      <t>1.2 × 10</t>
    </r>
    <r>
      <rPr>
        <vertAlign val="superscript"/>
        <sz val="11"/>
        <color rgb="FF222222"/>
        <rFont val="Arial"/>
        <family val="2"/>
      </rPr>
      <t>−24</t>
    </r>
    <r>
      <rPr>
        <sz val="14"/>
        <color rgb="FF222222"/>
        <rFont val="Arial"/>
        <family val="2"/>
      </rPr>
      <t> m</t>
    </r>
  </si>
  <si>
    <t>10 EeV</t>
  </si>
  <si>
    <r>
      <t>1 × 10</t>
    </r>
    <r>
      <rPr>
        <vertAlign val="superscript"/>
        <sz val="11"/>
        <color rgb="FF222222"/>
        <rFont val="Arial"/>
        <family val="2"/>
      </rPr>
      <t>19</t>
    </r>
  </si>
  <si>
    <t>1.602 J</t>
  </si>
  <si>
    <r>
      <t>2.42 × 10</t>
    </r>
    <r>
      <rPr>
        <vertAlign val="superscript"/>
        <sz val="11"/>
        <color rgb="FF222222"/>
        <rFont val="Arial"/>
        <family val="2"/>
      </rPr>
      <t>33</t>
    </r>
    <r>
      <rPr>
        <sz val="14"/>
        <color rgb="FF222222"/>
        <rFont val="Arial"/>
        <family val="2"/>
      </rPr>
      <t> Hz</t>
    </r>
  </si>
  <si>
    <r>
      <t>1.2 × 10</t>
    </r>
    <r>
      <rPr>
        <vertAlign val="superscript"/>
        <sz val="11"/>
        <color rgb="FF222222"/>
        <rFont val="Arial"/>
        <family val="2"/>
      </rPr>
      <t>−25</t>
    </r>
    <r>
      <rPr>
        <sz val="14"/>
        <color rgb="FF222222"/>
        <rFont val="Arial"/>
        <family val="2"/>
      </rPr>
      <t> m</t>
    </r>
  </si>
  <si>
    <t>air rifle shot</t>
  </si>
  <si>
    <t>meters/second</t>
  </si>
  <si>
    <t>units</t>
  </si>
  <si>
    <t>value</t>
  </si>
  <si>
    <t>E=hc/wavelength</t>
  </si>
  <si>
    <t>m2 kg / s</t>
  </si>
  <si>
    <t>m2 kg / s2 = joules</t>
  </si>
  <si>
    <t>jtoev</t>
  </si>
  <si>
    <t>ev/joule</t>
  </si>
  <si>
    <t>Pl</t>
  </si>
  <si>
    <t>Ep</t>
  </si>
  <si>
    <t>G</t>
  </si>
  <si>
    <t>m / kg s2</t>
  </si>
  <si>
    <t>sqrt(h-bar-c5/G)</t>
  </si>
  <si>
    <t>2.42 × 1025 Hz</t>
  </si>
  <si>
    <t>1.2 × 10−19 m</t>
  </si>
  <si>
    <t>1.2 × 10−22 m</t>
  </si>
  <si>
    <t>sqrt(m2k/s--m5/s5--/ m/k2)=sqrt(m9/s6k)</t>
  </si>
  <si>
    <t>1 × 1013</t>
  </si>
  <si>
    <t>1 × 1016</t>
  </si>
  <si>
    <t>hc/wavelength</t>
  </si>
  <si>
    <t>https://en.wikipedia.org/wiki/Ultra-high-energy_gamma_ray</t>
  </si>
  <si>
    <t>Pl - cal</t>
  </si>
  <si>
    <t>sqrt(h-bar*G/c^3)</t>
  </si>
  <si>
    <t>planck wavelength = 2 pi planck length</t>
  </si>
  <si>
    <t>The flaw was the planck length is not equal to planck wavelength</t>
  </si>
  <si>
    <t>Planck 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</si>
</sst>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0.0000%"/>
    <numFmt numFmtId="165" formatCode="_(* #,##0.0_);_(* \(#,##0.0\);_(* &quot;-&quot;??_);_(@_)"/>
    <numFmt numFmtId="166" formatCode="_(* #,##0_);_(* \(#,##0\);_(* &quot;-&quot;??_);_(@_)"/>
    <numFmt numFmtId="167" formatCode="0.0E+00"/>
    <numFmt numFmtId="168" formatCode="0.0"/>
    <numFmt numFmtId="177" formatCode="0.00000000E+00"/>
    <numFmt numFmtId="178" formatCode="0.000000000E+00"/>
    <numFmt numFmtId="181" formatCode="0.00000E+00"/>
  </numFmts>
  <fonts count="23" x14ac:knownFonts="1">
    <font>
      <sz val="12"/>
      <color theme="1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Helvetica Neue"/>
      <family val="2"/>
    </font>
    <font>
      <b/>
      <sz val="10"/>
      <color theme="1"/>
      <name val="Helvetica Neue"/>
      <family val="2"/>
    </font>
    <font>
      <vertAlign val="superscript"/>
      <sz val="10"/>
      <color theme="1"/>
      <name val="Helvetica Neue"/>
      <family val="2"/>
    </font>
    <font>
      <sz val="14"/>
      <color theme="1"/>
      <name val="Helvetica Neue"/>
      <family val="2"/>
    </font>
    <font>
      <sz val="14"/>
      <color theme="1"/>
      <name val="Calibri"/>
      <family val="2"/>
      <scheme val="minor"/>
    </font>
    <font>
      <i/>
      <sz val="10"/>
      <color theme="0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0"/>
      <color theme="0" tint="-0.499984740745262"/>
      <name val="Calibri"/>
      <family val="2"/>
      <scheme val="minor"/>
    </font>
    <font>
      <b/>
      <sz val="12"/>
      <color rgb="FF00610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Arial"/>
      <family val="2"/>
    </font>
    <font>
      <b/>
      <sz val="14"/>
      <color rgb="FF222222"/>
      <name val="Arial"/>
      <family val="2"/>
    </font>
    <font>
      <sz val="14"/>
      <color rgb="FF222222"/>
      <name val="Arial"/>
      <family val="2"/>
    </font>
    <font>
      <vertAlign val="superscript"/>
      <sz val="11"/>
      <color rgb="FF222222"/>
      <name val="Arial"/>
      <family val="2"/>
    </font>
    <font>
      <u/>
      <sz val="12"/>
      <color theme="1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E7E6E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8">
    <xf numFmtId="0" fontId="0" fillId="0" borderId="0"/>
    <xf numFmtId="0" fontId="1" fillId="2" borderId="0" applyNumberFormat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15" fillId="13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15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3" borderId="0" xfId="0" applyFill="1"/>
    <xf numFmtId="0" fontId="1" fillId="2" borderId="0" xfId="1"/>
    <xf numFmtId="0" fontId="0" fillId="0" borderId="0" xfId="0" applyAlignment="1">
      <alignment horizontal="right"/>
    </xf>
    <xf numFmtId="164" fontId="0" fillId="0" borderId="0" xfId="2" applyNumberFormat="1" applyFont="1"/>
    <xf numFmtId="43" fontId="0" fillId="0" borderId="0" xfId="3" applyFont="1"/>
    <xf numFmtId="166" fontId="0" fillId="0" borderId="0" xfId="3" applyNumberFormat="1" applyFont="1"/>
    <xf numFmtId="165" fontId="0" fillId="0" borderId="0" xfId="0" applyNumberFormat="1"/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justify" vertical="center" wrapText="1"/>
    </xf>
    <xf numFmtId="0" fontId="6" fillId="0" borderId="4" xfId="0" applyFont="1" applyBorder="1" applyAlignment="1">
      <alignment horizontal="justify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right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justify" vertical="center" wrapText="1"/>
    </xf>
    <xf numFmtId="0" fontId="6" fillId="6" borderId="4" xfId="0" applyFont="1" applyFill="1" applyBorder="1" applyAlignment="1">
      <alignment horizontal="right" vertical="center" wrapText="1"/>
    </xf>
    <xf numFmtId="49" fontId="6" fillId="0" borderId="4" xfId="0" applyNumberFormat="1" applyFont="1" applyBorder="1" applyAlignment="1">
      <alignment horizontal="right" vertical="center" wrapText="1"/>
    </xf>
    <xf numFmtId="49" fontId="6" fillId="6" borderId="4" xfId="0" applyNumberFormat="1" applyFont="1" applyFill="1" applyBorder="1" applyAlignment="1">
      <alignment horizontal="right" vertical="center" wrapText="1"/>
    </xf>
    <xf numFmtId="0" fontId="3" fillId="4" borderId="6" xfId="4" applyBorder="1" applyAlignment="1">
      <alignment horizontal="center" vertical="center" wrapText="1"/>
    </xf>
    <xf numFmtId="0" fontId="3" fillId="4" borderId="4" xfId="4" applyBorder="1" applyAlignment="1">
      <alignment horizontal="center" vertical="center" wrapText="1"/>
    </xf>
    <xf numFmtId="0" fontId="3" fillId="4" borderId="4" xfId="4" applyBorder="1" applyAlignment="1">
      <alignment horizontal="justify" vertical="center" wrapText="1"/>
    </xf>
    <xf numFmtId="49" fontId="3" fillId="4" borderId="4" xfId="4" applyNumberFormat="1" applyBorder="1" applyAlignment="1">
      <alignment horizontal="right" vertical="center" wrapText="1"/>
    </xf>
    <xf numFmtId="0" fontId="3" fillId="4" borderId="4" xfId="4" applyBorder="1" applyAlignment="1">
      <alignment horizontal="right" vertical="center" wrapText="1"/>
    </xf>
    <xf numFmtId="0" fontId="0" fillId="7" borderId="0" xfId="0" applyFill="1"/>
    <xf numFmtId="0" fontId="1" fillId="2" borderId="7" xfId="1" applyBorder="1" applyAlignment="1">
      <alignment horizontal="center"/>
    </xf>
    <xf numFmtId="0" fontId="2" fillId="5" borderId="7" xfId="5" applyFont="1" applyBorder="1" applyAlignment="1">
      <alignment horizontal="center"/>
    </xf>
    <xf numFmtId="0" fontId="2" fillId="5" borderId="7" xfId="5" applyFont="1" applyBorder="1" applyAlignment="1">
      <alignment horizontal="center" vertical="center" wrapText="1"/>
    </xf>
    <xf numFmtId="0" fontId="0" fillId="7" borderId="7" xfId="0" applyFont="1" applyFill="1" applyBorder="1" applyAlignment="1">
      <alignment horizontal="center"/>
    </xf>
    <xf numFmtId="0" fontId="0" fillId="5" borderId="7" xfId="5" applyFont="1" applyBorder="1" applyAlignment="1">
      <alignment horizontal="center" vertical="center" wrapText="1"/>
    </xf>
    <xf numFmtId="0" fontId="0" fillId="5" borderId="7" xfId="5" applyFont="1" applyBorder="1" applyAlignment="1">
      <alignment horizontal="center"/>
    </xf>
    <xf numFmtId="0" fontId="0" fillId="4" borderId="7" xfId="4" applyFont="1" applyBorder="1"/>
    <xf numFmtId="0" fontId="2" fillId="4" borderId="9" xfId="4" applyFont="1" applyBorder="1" applyAlignment="1">
      <alignment horizontal="center" vertical="center" wrapText="1"/>
    </xf>
    <xf numFmtId="0" fontId="0" fillId="4" borderId="7" xfId="4" applyFont="1" applyBorder="1" applyAlignment="1">
      <alignment horizontal="center"/>
    </xf>
    <xf numFmtId="0" fontId="0" fillId="4" borderId="10" xfId="4" applyFont="1" applyBorder="1" applyAlignment="1">
      <alignment horizontal="center" vertical="center" wrapText="1"/>
    </xf>
    <xf numFmtId="0" fontId="4" fillId="5" borderId="11" xfId="5" applyBorder="1" applyAlignment="1">
      <alignment horizontal="left"/>
    </xf>
    <xf numFmtId="0" fontId="0" fillId="4" borderId="9" xfId="4" applyFont="1" applyBorder="1" applyAlignment="1">
      <alignment horizontal="center" vertical="center" wrapText="1"/>
    </xf>
    <xf numFmtId="0" fontId="0" fillId="0" borderId="0" xfId="1" applyFont="1" applyFill="1" applyBorder="1" applyAlignment="1">
      <alignment horizontal="center"/>
    </xf>
    <xf numFmtId="0" fontId="0" fillId="5" borderId="8" xfId="5" applyFont="1" applyBorder="1" applyAlignment="1">
      <alignment horizontal="center"/>
    </xf>
    <xf numFmtId="0" fontId="0" fillId="5" borderId="12" xfId="5" applyFont="1" applyBorder="1" applyAlignment="1">
      <alignment horizontal="center" vertical="center" wrapText="1"/>
    </xf>
    <xf numFmtId="0" fontId="0" fillId="5" borderId="12" xfId="5" applyFont="1" applyBorder="1" applyAlignment="1">
      <alignment horizontal="center"/>
    </xf>
    <xf numFmtId="49" fontId="0" fillId="5" borderId="12" xfId="5" applyNumberFormat="1" applyFont="1" applyBorder="1" applyAlignment="1">
      <alignment horizontal="center" vertical="center" wrapText="1"/>
    </xf>
    <xf numFmtId="0" fontId="0" fillId="4" borderId="8" xfId="4" applyFont="1" applyBorder="1" applyAlignment="1">
      <alignment horizontal="center"/>
    </xf>
    <xf numFmtId="0" fontId="0" fillId="4" borderId="7" xfId="4" applyFont="1" applyBorder="1" applyAlignment="1">
      <alignment horizontal="center" vertical="center" wrapText="1"/>
    </xf>
    <xf numFmtId="49" fontId="0" fillId="4" borderId="7" xfId="4" applyNumberFormat="1" applyFont="1" applyBorder="1" applyAlignment="1">
      <alignment horizontal="center" vertical="center" wrapText="1"/>
    </xf>
    <xf numFmtId="49" fontId="0" fillId="5" borderId="7" xfId="5" applyNumberFormat="1" applyFont="1" applyBorder="1" applyAlignment="1">
      <alignment horizontal="center" vertical="center" wrapText="1"/>
    </xf>
    <xf numFmtId="0" fontId="4" fillId="5" borderId="9" xfId="5" applyBorder="1" applyAlignment="1">
      <alignment horizontal="center" vertical="center" wrapText="1"/>
    </xf>
    <xf numFmtId="0" fontId="2" fillId="8" borderId="7" xfId="5" applyFont="1" applyFill="1" applyBorder="1" applyAlignment="1">
      <alignment horizontal="center" vertical="center" wrapText="1"/>
    </xf>
    <xf numFmtId="0" fontId="0" fillId="4" borderId="8" xfId="4" applyFont="1" applyBorder="1" applyAlignment="1">
      <alignment horizontal="center" vertical="center" wrapText="1"/>
    </xf>
    <xf numFmtId="0" fontId="0" fillId="0" borderId="7" xfId="0" applyBorder="1"/>
    <xf numFmtId="0" fontId="0" fillId="0" borderId="14" xfId="0" applyBorder="1"/>
    <xf numFmtId="0" fontId="0" fillId="0" borderId="0" xfId="0" applyBorder="1"/>
    <xf numFmtId="0" fontId="0" fillId="4" borderId="0" xfId="4" applyFont="1" applyBorder="1"/>
    <xf numFmtId="0" fontId="0" fillId="4" borderId="0" xfId="4" applyFont="1" applyBorder="1" applyAlignment="1">
      <alignment horizontal="center"/>
    </xf>
    <xf numFmtId="0" fontId="0" fillId="7" borderId="15" xfId="0" applyFont="1" applyFill="1" applyBorder="1" applyAlignment="1">
      <alignment horizontal="center"/>
    </xf>
    <xf numFmtId="0" fontId="0" fillId="5" borderId="16" xfId="5" applyFont="1" applyBorder="1" applyAlignment="1">
      <alignment horizontal="center"/>
    </xf>
    <xf numFmtId="0" fontId="0" fillId="5" borderId="17" xfId="5" applyFont="1" applyBorder="1" applyAlignment="1">
      <alignment horizontal="center"/>
    </xf>
    <xf numFmtId="0" fontId="0" fillId="5" borderId="18" xfId="5" applyFont="1" applyBorder="1" applyAlignment="1">
      <alignment horizontal="center"/>
    </xf>
    <xf numFmtId="0" fontId="0" fillId="5" borderId="10" xfId="5" applyFont="1" applyBorder="1" applyAlignment="1">
      <alignment horizontal="center"/>
    </xf>
    <xf numFmtId="0" fontId="0" fillId="4" borderId="12" xfId="4" applyFont="1" applyBorder="1" applyAlignment="1">
      <alignment horizontal="center" vertical="center" wrapText="1"/>
    </xf>
    <xf numFmtId="0" fontId="0" fillId="4" borderId="16" xfId="4" applyFont="1" applyBorder="1" applyAlignment="1">
      <alignment horizontal="center" vertical="center" wrapText="1"/>
    </xf>
    <xf numFmtId="0" fontId="0" fillId="5" borderId="14" xfId="5" applyFont="1" applyBorder="1" applyAlignment="1">
      <alignment horizontal="center"/>
    </xf>
    <xf numFmtId="0" fontId="0" fillId="4" borderId="14" xfId="4" applyFont="1" applyBorder="1" applyAlignment="1">
      <alignment horizontal="center"/>
    </xf>
    <xf numFmtId="0" fontId="0" fillId="5" borderId="14" xfId="5" applyFont="1" applyBorder="1" applyAlignment="1">
      <alignment horizontal="center" vertical="center" wrapText="1"/>
    </xf>
    <xf numFmtId="49" fontId="0" fillId="8" borderId="7" xfId="5" applyNumberFormat="1" applyFont="1" applyFill="1" applyBorder="1" applyAlignment="1">
      <alignment horizontal="center" vertical="center" wrapText="1"/>
    </xf>
    <xf numFmtId="0" fontId="5" fillId="0" borderId="14" xfId="0" applyFont="1" applyBorder="1"/>
    <xf numFmtId="0" fontId="1" fillId="2" borderId="14" xfId="1" applyBorder="1" applyAlignment="1">
      <alignment horizontal="center"/>
    </xf>
    <xf numFmtId="0" fontId="1" fillId="2" borderId="16" xfId="1" applyBorder="1" applyAlignment="1">
      <alignment horizontal="center"/>
    </xf>
    <xf numFmtId="0" fontId="1" fillId="2" borderId="8" xfId="1" applyBorder="1" applyAlignment="1">
      <alignment horizontal="center"/>
    </xf>
    <xf numFmtId="0" fontId="1" fillId="2" borderId="17" xfId="1" applyBorder="1" applyAlignment="1">
      <alignment horizontal="center"/>
    </xf>
    <xf numFmtId="0" fontId="1" fillId="2" borderId="18" xfId="1" applyBorder="1" applyAlignment="1">
      <alignment horizontal="center"/>
    </xf>
    <xf numFmtId="49" fontId="2" fillId="5" borderId="7" xfId="5" applyNumberFormat="1" applyFont="1" applyBorder="1" applyAlignment="1">
      <alignment horizontal="center" vertical="center" wrapText="1"/>
    </xf>
    <xf numFmtId="0" fontId="2" fillId="4" borderId="12" xfId="4" applyFont="1" applyBorder="1" applyAlignment="1">
      <alignment horizontal="center"/>
    </xf>
    <xf numFmtId="0" fontId="2" fillId="4" borderId="12" xfId="4" applyFont="1" applyBorder="1" applyAlignment="1">
      <alignment horizontal="center" vertical="center" wrapText="1"/>
    </xf>
    <xf numFmtId="0" fontId="0" fillId="4" borderId="19" xfId="4" applyFont="1" applyBorder="1" applyAlignment="1">
      <alignment horizontal="center" vertical="center" wrapText="1"/>
    </xf>
    <xf numFmtId="0" fontId="0" fillId="4" borderId="13" xfId="4" applyFont="1" applyBorder="1" applyAlignment="1">
      <alignment horizontal="center"/>
    </xf>
    <xf numFmtId="49" fontId="0" fillId="4" borderId="12" xfId="4" applyNumberFormat="1" applyFont="1" applyBorder="1" applyAlignment="1">
      <alignment horizontal="center" vertical="center" wrapText="1"/>
    </xf>
    <xf numFmtId="0" fontId="10" fillId="0" borderId="0" xfId="0" applyFont="1"/>
    <xf numFmtId="166" fontId="10" fillId="0" borderId="0" xfId="3" applyNumberFormat="1" applyFont="1"/>
    <xf numFmtId="0" fontId="10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9" fontId="10" fillId="0" borderId="0" xfId="2" applyFont="1" applyAlignment="1">
      <alignment horizontal="center"/>
    </xf>
    <xf numFmtId="49" fontId="10" fillId="0" borderId="0" xfId="0" applyNumberFormat="1" applyFont="1" applyAlignment="1">
      <alignment horizontal="center"/>
    </xf>
    <xf numFmtId="9" fontId="11" fillId="0" borderId="0" xfId="0" applyNumberFormat="1" applyFont="1" applyAlignment="1">
      <alignment horizontal="center"/>
    </xf>
    <xf numFmtId="0" fontId="9" fillId="9" borderId="0" xfId="0" applyFont="1" applyFill="1"/>
    <xf numFmtId="166" fontId="10" fillId="9" borderId="0" xfId="3" applyNumberFormat="1" applyFont="1" applyFill="1"/>
    <xf numFmtId="0" fontId="10" fillId="7" borderId="0" xfId="0" applyFont="1" applyFill="1"/>
    <xf numFmtId="0" fontId="10" fillId="10" borderId="0" xfId="0" applyFont="1" applyFill="1"/>
    <xf numFmtId="0" fontId="10" fillId="11" borderId="0" xfId="0" applyFont="1" applyFill="1"/>
    <xf numFmtId="0" fontId="12" fillId="0" borderId="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9" fontId="10" fillId="0" borderId="7" xfId="2" applyFont="1" applyBorder="1" applyAlignment="1">
      <alignment horizontal="center"/>
    </xf>
    <xf numFmtId="9" fontId="11" fillId="0" borderId="7" xfId="0" applyNumberFormat="1" applyFont="1" applyBorder="1" applyAlignment="1">
      <alignment horizontal="center"/>
    </xf>
    <xf numFmtId="49" fontId="10" fillId="0" borderId="7" xfId="0" applyNumberFormat="1" applyFont="1" applyBorder="1" applyAlignment="1">
      <alignment horizontal="center"/>
    </xf>
    <xf numFmtId="0" fontId="10" fillId="11" borderId="7" xfId="0" applyFont="1" applyFill="1" applyBorder="1" applyAlignment="1">
      <alignment horizontal="center"/>
    </xf>
    <xf numFmtId="9" fontId="10" fillId="11" borderId="7" xfId="2" applyFont="1" applyFill="1" applyBorder="1" applyAlignment="1">
      <alignment horizontal="center"/>
    </xf>
    <xf numFmtId="9" fontId="11" fillId="11" borderId="7" xfId="0" applyNumberFormat="1" applyFont="1" applyFill="1" applyBorder="1" applyAlignment="1">
      <alignment horizontal="center"/>
    </xf>
    <xf numFmtId="49" fontId="10" fillId="11" borderId="7" xfId="0" applyNumberFormat="1" applyFont="1" applyFill="1" applyBorder="1" applyAlignment="1">
      <alignment horizontal="center"/>
    </xf>
    <xf numFmtId="0" fontId="10" fillId="10" borderId="7" xfId="0" applyFont="1" applyFill="1" applyBorder="1" applyAlignment="1">
      <alignment horizontal="center"/>
    </xf>
    <xf numFmtId="9" fontId="10" fillId="10" borderId="7" xfId="2" applyFont="1" applyFill="1" applyBorder="1" applyAlignment="1">
      <alignment horizontal="center"/>
    </xf>
    <xf numFmtId="9" fontId="11" fillId="10" borderId="7" xfId="0" applyNumberFormat="1" applyFont="1" applyFill="1" applyBorder="1" applyAlignment="1">
      <alignment horizontal="center"/>
    </xf>
    <xf numFmtId="49" fontId="10" fillId="10" borderId="7" xfId="0" applyNumberFormat="1" applyFont="1" applyFill="1" applyBorder="1" applyAlignment="1">
      <alignment horizontal="center"/>
    </xf>
    <xf numFmtId="0" fontId="10" fillId="9" borderId="7" xfId="0" applyFont="1" applyFill="1" applyBorder="1" applyAlignment="1">
      <alignment horizontal="center"/>
    </xf>
    <xf numFmtId="9" fontId="10" fillId="9" borderId="7" xfId="2" applyFont="1" applyFill="1" applyBorder="1" applyAlignment="1">
      <alignment horizontal="center"/>
    </xf>
    <xf numFmtId="9" fontId="11" fillId="9" borderId="7" xfId="0" applyNumberFormat="1" applyFont="1" applyFill="1" applyBorder="1" applyAlignment="1">
      <alignment horizontal="center"/>
    </xf>
    <xf numFmtId="49" fontId="10" fillId="9" borderId="7" xfId="0" applyNumberFormat="1" applyFont="1" applyFill="1" applyBorder="1" applyAlignment="1">
      <alignment horizontal="center"/>
    </xf>
    <xf numFmtId="0" fontId="10" fillId="7" borderId="0" xfId="0" applyFont="1" applyFill="1" applyBorder="1" applyAlignment="1">
      <alignment horizontal="center"/>
    </xf>
    <xf numFmtId="0" fontId="4" fillId="5" borderId="0" xfId="5"/>
    <xf numFmtId="0" fontId="4" fillId="5" borderId="0" xfId="5" applyAlignment="1">
      <alignment horizontal="center"/>
    </xf>
    <xf numFmtId="9" fontId="4" fillId="5" borderId="0" xfId="5" applyNumberFormat="1" applyAlignment="1">
      <alignment horizontal="center"/>
    </xf>
    <xf numFmtId="49" fontId="4" fillId="5" borderId="0" xfId="5" applyNumberFormat="1" applyAlignment="1">
      <alignment horizontal="center"/>
    </xf>
    <xf numFmtId="167" fontId="0" fillId="0" borderId="0" xfId="0" applyNumberFormat="1"/>
    <xf numFmtId="0" fontId="5" fillId="0" borderId="7" xfId="0" applyFont="1" applyBorder="1" applyAlignment="1">
      <alignment horizontal="right"/>
    </xf>
    <xf numFmtId="167" fontId="0" fillId="0" borderId="7" xfId="0" applyNumberFormat="1" applyBorder="1"/>
    <xf numFmtId="0" fontId="14" fillId="4" borderId="7" xfId="4" applyFont="1" applyBorder="1"/>
    <xf numFmtId="167" fontId="14" fillId="4" borderId="7" xfId="4" applyNumberFormat="1" applyFont="1" applyBorder="1"/>
    <xf numFmtId="0" fontId="5" fillId="11" borderId="7" xfId="0" applyFont="1" applyFill="1" applyBorder="1" applyAlignment="1">
      <alignment horizontal="right"/>
    </xf>
    <xf numFmtId="0" fontId="0" fillId="11" borderId="7" xfId="0" applyFill="1" applyBorder="1"/>
    <xf numFmtId="167" fontId="0" fillId="11" borderId="7" xfId="0" applyNumberFormat="1" applyFill="1" applyBorder="1"/>
    <xf numFmtId="167" fontId="5" fillId="11" borderId="7" xfId="0" applyNumberFormat="1" applyFont="1" applyFill="1" applyBorder="1"/>
    <xf numFmtId="9" fontId="0" fillId="0" borderId="7" xfId="2" applyFont="1" applyBorder="1"/>
    <xf numFmtId="166" fontId="0" fillId="0" borderId="7" xfId="3" applyNumberFormat="1" applyFont="1" applyBorder="1"/>
    <xf numFmtId="0" fontId="0" fillId="0" borderId="0" xfId="0" applyAlignment="1">
      <alignment horizontal="left" vertical="center" indent="3"/>
    </xf>
    <xf numFmtId="168" fontId="0" fillId="0" borderId="0" xfId="0" applyNumberFormat="1"/>
    <xf numFmtId="0" fontId="0" fillId="12" borderId="21" xfId="0" applyFont="1" applyFill="1" applyBorder="1"/>
    <xf numFmtId="0" fontId="0" fillId="0" borderId="21" xfId="0" applyFont="1" applyBorder="1"/>
    <xf numFmtId="11" fontId="0" fillId="0" borderId="0" xfId="0" applyNumberFormat="1"/>
    <xf numFmtId="0" fontId="10" fillId="7" borderId="14" xfId="0" applyFont="1" applyFill="1" applyBorder="1" applyAlignment="1">
      <alignment horizontal="center"/>
    </xf>
    <xf numFmtId="0" fontId="10" fillId="7" borderId="20" xfId="0" applyFont="1" applyFill="1" applyBorder="1" applyAlignment="1">
      <alignment horizontal="center"/>
    </xf>
    <xf numFmtId="0" fontId="10" fillId="7" borderId="8" xfId="0" applyFont="1" applyFill="1" applyBorder="1" applyAlignment="1">
      <alignment horizontal="center"/>
    </xf>
    <xf numFmtId="0" fontId="6" fillId="0" borderId="5" xfId="0" applyFont="1" applyBorder="1" applyAlignment="1">
      <alignment horizontal="justify" vertical="center" wrapText="1"/>
    </xf>
    <xf numFmtId="0" fontId="6" fillId="0" borderId="6" xfId="0" applyFont="1" applyBorder="1" applyAlignment="1">
      <alignment horizontal="justify" vertical="center" wrapText="1"/>
    </xf>
    <xf numFmtId="0" fontId="6" fillId="0" borderId="5" xfId="0" applyFont="1" applyBorder="1" applyAlignment="1">
      <alignment horizontal="right" vertical="center" wrapText="1"/>
    </xf>
    <xf numFmtId="0" fontId="6" fillId="0" borderId="6" xfId="0" applyFont="1" applyBorder="1" applyAlignment="1">
      <alignment horizontal="right" vertical="center" wrapText="1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20" fillId="0" borderId="0" xfId="7"/>
    <xf numFmtId="11" fontId="3" fillId="4" borderId="0" xfId="4" applyNumberFormat="1"/>
    <xf numFmtId="0" fontId="3" fillId="4" borderId="0" xfId="4"/>
    <xf numFmtId="11" fontId="1" fillId="2" borderId="0" xfId="1" applyNumberFormat="1"/>
    <xf numFmtId="0" fontId="0" fillId="14" borderId="0" xfId="0" applyFill="1"/>
    <xf numFmtId="177" fontId="16" fillId="0" borderId="0" xfId="0" applyNumberFormat="1" applyFont="1"/>
    <xf numFmtId="178" fontId="16" fillId="0" borderId="0" xfId="0" applyNumberFormat="1" applyFont="1"/>
    <xf numFmtId="11" fontId="15" fillId="13" borderId="0" xfId="6" applyNumberFormat="1"/>
    <xf numFmtId="181" fontId="0" fillId="14" borderId="0" xfId="0" applyNumberFormat="1" applyFill="1"/>
    <xf numFmtId="181" fontId="15" fillId="13" borderId="0" xfId="6" applyNumberFormat="1"/>
    <xf numFmtId="181" fontId="0" fillId="0" borderId="0" xfId="0" applyNumberFormat="1"/>
  </cellXfs>
  <cellStyles count="8">
    <cellStyle name="Accent2" xfId="6" builtinId="33"/>
    <cellStyle name="Bad" xfId="5" builtinId="27"/>
    <cellStyle name="Comma" xfId="3" builtinId="3"/>
    <cellStyle name="Good" xfId="4" builtinId="26"/>
    <cellStyle name="Hyperlink" xfId="7" builtinId="8"/>
    <cellStyle name="Neutral" xfId="1" builtinId="28"/>
    <cellStyle name="Normal" xfId="0" builtinId="0"/>
    <cellStyle name="Percent" xfId="2" builtinId="5"/>
  </cellStyles>
  <dxfs count="1">
    <dxf>
      <numFmt numFmtId="168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23073F-0856-AC4C-A7BB-1BB1A4AC0ED7}" name="Table1" displayName="Table1" ref="B5:C21" totalsRowShown="0">
  <autoFilter ref="B5:C21" xr:uid="{D5BD82DA-181C-5843-9064-E73C67AE764A}"/>
  <tableColumns count="2">
    <tableColumn id="1" xr3:uid="{CCADBBDB-DDE5-C740-8F1C-8029E4AE5735}" name="v">
      <calculatedColumnFormula>(9+B5)/10</calculatedColumnFormula>
    </tableColumn>
    <tableColumn id="2" xr3:uid="{D7A19F36-9A8A-9649-B3E5-A7B0F4780DB4}" name="1/Lorentz" dataDxfId="0">
      <calculatedColumnFormula>1/D6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n.wikipedia.org/wiki/Ultra-high-energy_gamma_ray" TargetMode="External"/><Relationship Id="rId1" Type="http://schemas.openxmlformats.org/officeDocument/2006/relationships/hyperlink" Target="https://en.wikipedia.org/wiki/Attojoule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8CCB2-8F8A-F544-84A9-9DFC88B0F1E0}">
  <dimension ref="B3:N46"/>
  <sheetViews>
    <sheetView topLeftCell="A2" workbookViewId="0">
      <selection activeCell="C46" sqref="C46"/>
    </sheetView>
  </sheetViews>
  <sheetFormatPr baseColWidth="10" defaultRowHeight="16" x14ac:dyDescent="0.2"/>
  <cols>
    <col min="3" max="3" width="29.1640625" bestFit="1" customWidth="1"/>
    <col min="5" max="5" width="28.33203125" bestFit="1" customWidth="1"/>
  </cols>
  <sheetData>
    <row r="3" spans="2:10" x14ac:dyDescent="0.2">
      <c r="B3" t="s">
        <v>0</v>
      </c>
    </row>
    <row r="5" spans="2:10" x14ac:dyDescent="0.2">
      <c r="C5" s="7" t="s">
        <v>3</v>
      </c>
    </row>
    <row r="6" spans="2:10" x14ac:dyDescent="0.2">
      <c r="B6" t="s">
        <v>1</v>
      </c>
      <c r="C6">
        <v>938.27208129999997</v>
      </c>
    </row>
    <row r="7" spans="2:10" ht="17" thickBot="1" x14ac:dyDescent="0.25">
      <c r="B7" t="s">
        <v>2</v>
      </c>
      <c r="C7">
        <v>939.56541330000005</v>
      </c>
      <c r="G7" t="s">
        <v>8</v>
      </c>
    </row>
    <row r="8" spans="2:10" x14ac:dyDescent="0.2">
      <c r="B8" t="s">
        <v>4</v>
      </c>
      <c r="C8">
        <v>2.2999999999999998</v>
      </c>
      <c r="D8">
        <v>0.7</v>
      </c>
      <c r="E8">
        <v>-0.5</v>
      </c>
      <c r="G8" s="1">
        <f>C8+E8</f>
        <v>1.7999999999999998</v>
      </c>
      <c r="H8" s="2">
        <f>C8+D8</f>
        <v>3</v>
      </c>
    </row>
    <row r="9" spans="2:10" ht="17" thickBot="1" x14ac:dyDescent="0.25">
      <c r="B9" t="s">
        <v>5</v>
      </c>
      <c r="C9">
        <v>4.8</v>
      </c>
      <c r="D9">
        <v>0.5</v>
      </c>
      <c r="E9">
        <v>-0.3</v>
      </c>
      <c r="G9" s="3">
        <f>C9+E9</f>
        <v>4.5</v>
      </c>
      <c r="H9" s="4">
        <f>C9+D9</f>
        <v>5.3</v>
      </c>
    </row>
    <row r="12" spans="2:10" x14ac:dyDescent="0.2">
      <c r="B12" t="s">
        <v>19</v>
      </c>
      <c r="C12" t="s">
        <v>20</v>
      </c>
    </row>
    <row r="16" spans="2:10" x14ac:dyDescent="0.2">
      <c r="F16" t="str">
        <f>B8</f>
        <v>Up Quark</v>
      </c>
      <c r="G16" t="s">
        <v>6</v>
      </c>
      <c r="H16" t="s">
        <v>6</v>
      </c>
      <c r="I16" t="s">
        <v>7</v>
      </c>
      <c r="J16" t="s">
        <v>7</v>
      </c>
    </row>
    <row r="17" spans="2:14" x14ac:dyDescent="0.2">
      <c r="F17" t="str">
        <f>B9</f>
        <v>Down Quark</v>
      </c>
      <c r="G17" t="s">
        <v>6</v>
      </c>
      <c r="H17" t="s">
        <v>7</v>
      </c>
      <c r="I17" t="s">
        <v>6</v>
      </c>
      <c r="J17" t="s">
        <v>7</v>
      </c>
    </row>
    <row r="18" spans="2:14" x14ac:dyDescent="0.2">
      <c r="F18" t="str">
        <f>F16</f>
        <v>Up Quark</v>
      </c>
      <c r="G18">
        <f>lu</f>
        <v>1.7999999999999998</v>
      </c>
      <c r="H18">
        <f>lu</f>
        <v>1.7999999999999998</v>
      </c>
      <c r="I18">
        <f>hu</f>
        <v>3</v>
      </c>
      <c r="J18">
        <f>hu</f>
        <v>3</v>
      </c>
    </row>
    <row r="19" spans="2:14" x14ac:dyDescent="0.2">
      <c r="F19" t="str">
        <f>F17</f>
        <v>Down Quark</v>
      </c>
      <c r="G19">
        <f>ld</f>
        <v>4.5</v>
      </c>
      <c r="H19">
        <f>hd</f>
        <v>5.3</v>
      </c>
      <c r="I19">
        <f>ld</f>
        <v>4.5</v>
      </c>
      <c r="J19">
        <f>hd</f>
        <v>5.3</v>
      </c>
    </row>
    <row r="20" spans="2:14" x14ac:dyDescent="0.2">
      <c r="L20" t="s">
        <v>11</v>
      </c>
      <c r="M20" t="s">
        <v>13</v>
      </c>
      <c r="N20" t="s">
        <v>12</v>
      </c>
    </row>
    <row r="21" spans="2:14" x14ac:dyDescent="0.2">
      <c r="E21" t="s">
        <v>19</v>
      </c>
      <c r="F21" t="s">
        <v>9</v>
      </c>
      <c r="G21">
        <f>p-2*G18-G19</f>
        <v>930.17208129999995</v>
      </c>
      <c r="H21">
        <f>p-2*H18-H19</f>
        <v>929.37208129999999</v>
      </c>
      <c r="I21">
        <f>p-2*I18-I19</f>
        <v>927.77208129999997</v>
      </c>
      <c r="J21">
        <f>p-2*J18-J19</f>
        <v>926.97208130000001</v>
      </c>
      <c r="L21" s="5">
        <f>MIN(G21:J21)</f>
        <v>926.97208130000001</v>
      </c>
      <c r="M21" s="6">
        <f>AVERAGE(G21:J21)</f>
        <v>928.57208129999992</v>
      </c>
      <c r="N21">
        <f>MAX(G21:J21)</f>
        <v>930.17208129999995</v>
      </c>
    </row>
    <row r="22" spans="2:14" x14ac:dyDescent="0.2">
      <c r="E22" t="s">
        <v>19</v>
      </c>
      <c r="F22" t="s">
        <v>10</v>
      </c>
      <c r="G22">
        <f>n-G18-2*G19</f>
        <v>928.76541330000009</v>
      </c>
      <c r="H22">
        <f>n-H18-2*H19</f>
        <v>927.16541330000007</v>
      </c>
      <c r="I22">
        <f>n-I18-2*I19</f>
        <v>927.56541330000005</v>
      </c>
      <c r="J22">
        <f>n-J18-2*J19</f>
        <v>925.96541330000002</v>
      </c>
      <c r="L22">
        <f>MIN(G22:J22)</f>
        <v>925.96541330000002</v>
      </c>
      <c r="M22" s="6">
        <f>AVERAGE(G22:J22)</f>
        <v>927.36541330000011</v>
      </c>
      <c r="N22" s="5">
        <f>MAX(G22:J22)</f>
        <v>928.76541330000009</v>
      </c>
    </row>
    <row r="24" spans="2:14" x14ac:dyDescent="0.2">
      <c r="E24" t="s">
        <v>21</v>
      </c>
      <c r="H24">
        <f>L21</f>
        <v>926.97208130000001</v>
      </c>
      <c r="I24" t="s">
        <v>14</v>
      </c>
      <c r="J24">
        <f>N22</f>
        <v>928.76541330000009</v>
      </c>
      <c r="K24">
        <f>J24-H24</f>
        <v>1.7933320000000776</v>
      </c>
    </row>
    <row r="25" spans="2:14" x14ac:dyDescent="0.2">
      <c r="G25" t="s">
        <v>1</v>
      </c>
      <c r="H25" s="8">
        <f>H24/p</f>
        <v>0.98795658506182604</v>
      </c>
    </row>
    <row r="26" spans="2:14" x14ac:dyDescent="0.2">
      <c r="G26" t="s">
        <v>2</v>
      </c>
      <c r="H26" s="8">
        <f>H24/n</f>
        <v>0.98659664157307692</v>
      </c>
    </row>
    <row r="27" spans="2:14" x14ac:dyDescent="0.2">
      <c r="B27" t="s">
        <v>22</v>
      </c>
    </row>
    <row r="28" spans="2:14" x14ac:dyDescent="0.2">
      <c r="B28" t="s">
        <v>23</v>
      </c>
    </row>
    <row r="29" spans="2:14" x14ac:dyDescent="0.2">
      <c r="B29" t="s">
        <v>15</v>
      </c>
    </row>
    <row r="30" spans="2:14" x14ac:dyDescent="0.2">
      <c r="B30" t="s">
        <v>24</v>
      </c>
    </row>
    <row r="31" spans="2:14" x14ac:dyDescent="0.2">
      <c r="B31" t="s">
        <v>25</v>
      </c>
    </row>
    <row r="32" spans="2:14" x14ac:dyDescent="0.2">
      <c r="B32" t="s">
        <v>16</v>
      </c>
    </row>
    <row r="33" spans="2:3" x14ac:dyDescent="0.2">
      <c r="B33" t="s">
        <v>17</v>
      </c>
    </row>
    <row r="35" spans="2:3" x14ac:dyDescent="0.2">
      <c r="B35" t="s">
        <v>18</v>
      </c>
    </row>
    <row r="37" spans="2:3" x14ac:dyDescent="0.2">
      <c r="B37" t="s">
        <v>26</v>
      </c>
    </row>
    <row r="42" spans="2:3" x14ac:dyDescent="0.2">
      <c r="B42" t="s">
        <v>345</v>
      </c>
      <c r="C42">
        <v>1.1999999999999999E-7</v>
      </c>
    </row>
    <row r="43" spans="2:3" x14ac:dyDescent="0.2">
      <c r="B43" t="s">
        <v>54</v>
      </c>
      <c r="C43" s="129">
        <v>0.51099894609999996</v>
      </c>
    </row>
    <row r="44" spans="2:3" x14ac:dyDescent="0.2">
      <c r="B44" t="s">
        <v>346</v>
      </c>
      <c r="C44">
        <f>p+C43</f>
        <v>938.78308024609998</v>
      </c>
    </row>
    <row r="46" spans="2:3" x14ac:dyDescent="0.2">
      <c r="C46">
        <f>n-C44-C42</f>
        <v>0.78233293390006076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1EBDA-0D1C-3046-985E-4D6005B2C235}">
  <dimension ref="B2:D21"/>
  <sheetViews>
    <sheetView workbookViewId="0">
      <selection activeCell="B6" sqref="B6:B21"/>
    </sheetView>
  </sheetViews>
  <sheetFormatPr baseColWidth="10" defaultRowHeight="16" x14ac:dyDescent="0.2"/>
  <cols>
    <col min="3" max="3" width="16.83203125" bestFit="1" customWidth="1"/>
    <col min="4" max="4" width="13.83203125" bestFit="1" customWidth="1"/>
  </cols>
  <sheetData>
    <row r="2" spans="2:4" x14ac:dyDescent="0.2">
      <c r="B2" t="s">
        <v>29</v>
      </c>
      <c r="D2">
        <v>1</v>
      </c>
    </row>
    <row r="5" spans="2:4" x14ac:dyDescent="0.2">
      <c r="B5" t="s">
        <v>347</v>
      </c>
      <c r="C5" t="s">
        <v>348</v>
      </c>
      <c r="D5" t="s">
        <v>349</v>
      </c>
    </row>
    <row r="6" spans="2:4" x14ac:dyDescent="0.2">
      <c r="B6">
        <v>0.1</v>
      </c>
      <c r="C6" s="130">
        <f t="shared" ref="C6:C21" si="0">1/D6</f>
        <v>1.0050378152592121</v>
      </c>
      <c r="D6">
        <f t="shared" ref="D6:D21" si="1">SQRT(1-(POWER(B6,2)))</f>
        <v>0.99498743710661997</v>
      </c>
    </row>
    <row r="7" spans="2:4" x14ac:dyDescent="0.2">
      <c r="B7">
        <v>0.2</v>
      </c>
      <c r="C7" s="130">
        <f t="shared" si="0"/>
        <v>1.0206207261596576</v>
      </c>
      <c r="D7">
        <f t="shared" si="1"/>
        <v>0.9797958971132712</v>
      </c>
    </row>
    <row r="8" spans="2:4" x14ac:dyDescent="0.2">
      <c r="B8">
        <v>0.3</v>
      </c>
      <c r="C8" s="130">
        <f t="shared" si="0"/>
        <v>1.0482848367219182</v>
      </c>
      <c r="D8">
        <f t="shared" si="1"/>
        <v>0.95393920141694566</v>
      </c>
    </row>
    <row r="9" spans="2:4" x14ac:dyDescent="0.2">
      <c r="B9">
        <v>0.4</v>
      </c>
      <c r="C9" s="130">
        <f t="shared" si="0"/>
        <v>1.091089451179962</v>
      </c>
      <c r="D9">
        <f t="shared" si="1"/>
        <v>0.91651513899116799</v>
      </c>
    </row>
    <row r="10" spans="2:4" x14ac:dyDescent="0.2">
      <c r="B10">
        <v>0.5</v>
      </c>
      <c r="C10" s="130">
        <f t="shared" si="0"/>
        <v>1.1547005383792517</v>
      </c>
      <c r="D10">
        <f t="shared" si="1"/>
        <v>0.8660254037844386</v>
      </c>
    </row>
    <row r="11" spans="2:4" x14ac:dyDescent="0.2">
      <c r="B11">
        <v>0.6</v>
      </c>
      <c r="C11" s="130">
        <f t="shared" si="0"/>
        <v>1.25</v>
      </c>
      <c r="D11">
        <f t="shared" si="1"/>
        <v>0.8</v>
      </c>
    </row>
    <row r="12" spans="2:4" x14ac:dyDescent="0.2">
      <c r="B12">
        <v>0.7</v>
      </c>
      <c r="C12" s="130">
        <f t="shared" si="0"/>
        <v>1.4002800840280099</v>
      </c>
      <c r="D12">
        <f t="shared" si="1"/>
        <v>0.71414284285428498</v>
      </c>
    </row>
    <row r="13" spans="2:4" x14ac:dyDescent="0.2">
      <c r="B13">
        <v>0.8</v>
      </c>
      <c r="C13" s="130">
        <f t="shared" si="0"/>
        <v>1.666666666666667</v>
      </c>
      <c r="D13">
        <f t="shared" si="1"/>
        <v>0.59999999999999987</v>
      </c>
    </row>
    <row r="14" spans="2:4" x14ac:dyDescent="0.2">
      <c r="B14">
        <v>0.9</v>
      </c>
      <c r="C14" s="130">
        <f t="shared" si="0"/>
        <v>2.294157338705618</v>
      </c>
      <c r="D14">
        <f t="shared" si="1"/>
        <v>0.43588989435406728</v>
      </c>
    </row>
    <row r="15" spans="2:4" x14ac:dyDescent="0.2">
      <c r="B15">
        <f>(9+B14)/10</f>
        <v>0.99</v>
      </c>
      <c r="C15" s="130">
        <f t="shared" si="0"/>
        <v>7.0888120500833542</v>
      </c>
      <c r="D15">
        <f t="shared" si="1"/>
        <v>0.14106735979665894</v>
      </c>
    </row>
    <row r="16" spans="2:4" x14ac:dyDescent="0.2">
      <c r="B16">
        <f t="shared" ref="B16:B21" si="2">(9+B15)/10</f>
        <v>0.999</v>
      </c>
      <c r="C16" s="130">
        <f t="shared" si="0"/>
        <v>22.366272042129371</v>
      </c>
      <c r="D16">
        <f t="shared" si="1"/>
        <v>4.4710177812216013E-2</v>
      </c>
    </row>
    <row r="17" spans="2:4" x14ac:dyDescent="0.2">
      <c r="B17">
        <f t="shared" si="2"/>
        <v>0.99990000000000001</v>
      </c>
      <c r="C17" s="130">
        <f t="shared" si="0"/>
        <v>70.712445951914518</v>
      </c>
      <c r="D17">
        <f t="shared" si="1"/>
        <v>1.4141782065918275E-2</v>
      </c>
    </row>
    <row r="18" spans="2:4" x14ac:dyDescent="0.2">
      <c r="B18">
        <f t="shared" si="2"/>
        <v>0.99999000000000005</v>
      </c>
      <c r="C18" s="130">
        <f t="shared" si="0"/>
        <v>223.60735676962474</v>
      </c>
      <c r="D18">
        <f t="shared" si="1"/>
        <v>4.4721247746346152E-3</v>
      </c>
    </row>
    <row r="19" spans="2:4" x14ac:dyDescent="0.2">
      <c r="B19">
        <f t="shared" si="2"/>
        <v>0.99999900000000008</v>
      </c>
      <c r="C19" s="130">
        <f t="shared" si="0"/>
        <v>707.10695798848417</v>
      </c>
      <c r="D19">
        <f t="shared" si="1"/>
        <v>1.4142132087693101E-3</v>
      </c>
    </row>
    <row r="20" spans="2:4" x14ac:dyDescent="0.2">
      <c r="B20">
        <f t="shared" si="2"/>
        <v>0.99999990000000005</v>
      </c>
      <c r="C20" s="130">
        <f t="shared" si="0"/>
        <v>2236.0680339452938</v>
      </c>
      <c r="D20">
        <f t="shared" si="1"/>
        <v>4.4721358421085739E-4</v>
      </c>
    </row>
    <row r="21" spans="2:4" x14ac:dyDescent="0.2">
      <c r="B21">
        <f t="shared" si="2"/>
        <v>0.99999999000000006</v>
      </c>
      <c r="C21" s="130">
        <f t="shared" si="0"/>
        <v>7071.0678529787365</v>
      </c>
      <c r="D21">
        <f t="shared" si="1"/>
        <v>1.4142135541504429E-4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4827C-EDFB-814E-9D14-90A7E137A8CD}">
  <dimension ref="A3:R26"/>
  <sheetViews>
    <sheetView workbookViewId="0">
      <selection activeCell="R31" sqref="R31"/>
    </sheetView>
  </sheetViews>
  <sheetFormatPr baseColWidth="10" defaultRowHeight="16" x14ac:dyDescent="0.2"/>
  <cols>
    <col min="13" max="13" width="12.6640625" bestFit="1" customWidth="1"/>
    <col min="14" max="14" width="13.6640625" bestFit="1" customWidth="1"/>
    <col min="15" max="15" width="15.6640625" bestFit="1" customWidth="1"/>
    <col min="16" max="16" width="16.83203125" bestFit="1" customWidth="1"/>
    <col min="17" max="17" width="18.83203125" bestFit="1" customWidth="1"/>
    <col min="18" max="18" width="19.83203125" bestFit="1" customWidth="1"/>
  </cols>
  <sheetData>
    <row r="3" spans="1:18" x14ac:dyDescent="0.2">
      <c r="C3" t="s">
        <v>350</v>
      </c>
    </row>
    <row r="4" spans="1:18" x14ac:dyDescent="0.2">
      <c r="C4" s="131">
        <v>0.1</v>
      </c>
      <c r="D4" s="132">
        <v>0.2</v>
      </c>
      <c r="E4" s="131">
        <v>0.3</v>
      </c>
      <c r="F4" s="132">
        <v>0.4</v>
      </c>
      <c r="G4" s="131">
        <v>0.5</v>
      </c>
      <c r="H4" s="132">
        <v>0.6</v>
      </c>
      <c r="I4" s="131">
        <v>0.7</v>
      </c>
      <c r="J4" s="132">
        <v>0.8</v>
      </c>
      <c r="K4" s="131">
        <v>0.9</v>
      </c>
      <c r="L4" s="132">
        <f t="shared" ref="L4:R4" si="0">(9+K4)/10</f>
        <v>0.99</v>
      </c>
      <c r="M4" s="131">
        <f t="shared" si="0"/>
        <v>0.999</v>
      </c>
      <c r="N4" s="132">
        <f t="shared" si="0"/>
        <v>0.99990000000000001</v>
      </c>
      <c r="O4" s="131">
        <f t="shared" si="0"/>
        <v>0.99999000000000005</v>
      </c>
      <c r="P4" s="132">
        <f t="shared" si="0"/>
        <v>0.99999900000000008</v>
      </c>
      <c r="Q4" s="131">
        <f t="shared" si="0"/>
        <v>0.99999990000000005</v>
      </c>
      <c r="R4" s="132">
        <f t="shared" si="0"/>
        <v>0.99999999000000006</v>
      </c>
    </row>
    <row r="5" spans="1:18" x14ac:dyDescent="0.2">
      <c r="A5" t="s">
        <v>351</v>
      </c>
      <c r="B5" s="131">
        <v>0.1</v>
      </c>
      <c r="C5" s="133">
        <f>POWER((SQRT((1-POWER($B5,2))/(1-POWER(C$4,2)))),3)</f>
        <v>1</v>
      </c>
      <c r="D5" s="133">
        <f t="shared" ref="D5:R5" si="1">POWER((SQRT((1-POWER($B5,2))/(1-POWER(D$4,2)))),3)</f>
        <v>1.0472393255976045</v>
      </c>
      <c r="E5" s="133">
        <f t="shared" si="1"/>
        <v>1.1347252094694464</v>
      </c>
      <c r="F5" s="133">
        <f t="shared" si="1"/>
        <v>1.2794810639485508</v>
      </c>
      <c r="G5" s="133">
        <f t="shared" si="1"/>
        <v>1.5165645386860394</v>
      </c>
      <c r="H5" s="133">
        <f t="shared" si="1"/>
        <v>1.9239014897178783</v>
      </c>
      <c r="I5" s="133">
        <f t="shared" si="1"/>
        <v>2.7045656492511507</v>
      </c>
      <c r="J5" s="133">
        <f t="shared" si="1"/>
        <v>4.5603590867386767</v>
      </c>
      <c r="K5" s="133">
        <f t="shared" si="1"/>
        <v>11.893848176055092</v>
      </c>
      <c r="L5" s="133">
        <f t="shared" si="1"/>
        <v>350.89176605550364</v>
      </c>
      <c r="M5" s="133">
        <f t="shared" si="1"/>
        <v>11021.319709784779</v>
      </c>
      <c r="N5" s="133">
        <f t="shared" si="1"/>
        <v>348289.49155242072</v>
      </c>
      <c r="O5" s="133">
        <f t="shared" si="1"/>
        <v>11013137.351845967</v>
      </c>
      <c r="P5" s="133">
        <f t="shared" si="1"/>
        <v>348263631.4017781</v>
      </c>
      <c r="Q5" s="133">
        <f t="shared" si="1"/>
        <v>11013055587.351212</v>
      </c>
      <c r="R5" s="133">
        <f t="shared" si="1"/>
        <v>348263376241.60559</v>
      </c>
    </row>
    <row r="6" spans="1:18" x14ac:dyDescent="0.2">
      <c r="B6" s="132">
        <v>0.2</v>
      </c>
      <c r="C6" s="133">
        <f t="shared" ref="C6:R20" si="2">POWER((SQRT((1-POWER($B6,2))/(1-POWER(C$4,2)))),3)</f>
        <v>0.95489156638512673</v>
      </c>
      <c r="D6" s="133">
        <f t="shared" si="2"/>
        <v>1</v>
      </c>
      <c r="E6" s="133">
        <f t="shared" si="2"/>
        <v>1.0835395326869706</v>
      </c>
      <c r="F6" s="133">
        <f t="shared" si="2"/>
        <v>1.2217656773139403</v>
      </c>
      <c r="G6" s="133">
        <f t="shared" si="2"/>
        <v>1.4481546878700493</v>
      </c>
      <c r="H6" s="133">
        <f t="shared" si="2"/>
        <v>1.8371173070873832</v>
      </c>
      <c r="I6" s="133">
        <f t="shared" si="2"/>
        <v>2.5825669292048392</v>
      </c>
      <c r="J6" s="133">
        <f t="shared" si="2"/>
        <v>4.3546484316145406</v>
      </c>
      <c r="K6" s="133">
        <f t="shared" si="2"/>
        <v>11.357335315180123</v>
      </c>
      <c r="L6" s="133">
        <f t="shared" si="2"/>
        <v>335.0635881203832</v>
      </c>
      <c r="M6" s="133">
        <f t="shared" si="2"/>
        <v>10524.165241307654</v>
      </c>
      <c r="N6" s="133">
        <f t="shared" si="2"/>
        <v>332578.69814397051</v>
      </c>
      <c r="O6" s="133">
        <f t="shared" si="2"/>
        <v>10516351.976718742</v>
      </c>
      <c r="P6" s="133">
        <f t="shared" si="2"/>
        <v>332554004.50421625</v>
      </c>
      <c r="Q6" s="133">
        <f t="shared" si="2"/>
        <v>10516273900.492271</v>
      </c>
      <c r="R6" s="133">
        <f t="shared" si="2"/>
        <v>332553760853.91943</v>
      </c>
    </row>
    <row r="7" spans="1:18" x14ac:dyDescent="0.2">
      <c r="B7" s="131">
        <v>0.3</v>
      </c>
      <c r="C7" s="133">
        <f t="shared" si="2"/>
        <v>0.88127062980081428</v>
      </c>
      <c r="D7" s="133">
        <f t="shared" si="2"/>
        <v>0.92290126002158068</v>
      </c>
      <c r="E7" s="133">
        <f t="shared" si="2"/>
        <v>1</v>
      </c>
      <c r="F7" s="133">
        <f t="shared" si="2"/>
        <v>1.1275690830441558</v>
      </c>
      <c r="G7" s="133">
        <f t="shared" si="2"/>
        <v>1.3365037861414277</v>
      </c>
      <c r="H7" s="133">
        <f t="shared" si="2"/>
        <v>1.6954778775183994</v>
      </c>
      <c r="I7" s="133">
        <f t="shared" si="2"/>
        <v>2.3834542730532102</v>
      </c>
      <c r="J7" s="133">
        <f t="shared" si="2"/>
        <v>4.0189105244880601</v>
      </c>
      <c r="K7" s="133">
        <f t="shared" si="2"/>
        <v>10.481699072867332</v>
      </c>
      <c r="L7" s="133">
        <f t="shared" si="2"/>
        <v>309.23060766365353</v>
      </c>
      <c r="M7" s="133">
        <f t="shared" si="2"/>
        <v>9712.7653618781605</v>
      </c>
      <c r="N7" s="133">
        <f t="shared" si="2"/>
        <v>306937.29957340722</v>
      </c>
      <c r="O7" s="133">
        <f t="shared" si="2"/>
        <v>9705554.4901441671</v>
      </c>
      <c r="P7" s="133">
        <f t="shared" si="2"/>
        <v>306914509.78216374</v>
      </c>
      <c r="Q7" s="133">
        <f t="shared" si="2"/>
        <v>9705482433.4963779</v>
      </c>
      <c r="R7" s="133">
        <f t="shared" si="2"/>
        <v>306914284916.99768</v>
      </c>
    </row>
    <row r="8" spans="1:18" x14ac:dyDescent="0.2">
      <c r="B8" s="132">
        <v>0.4</v>
      </c>
      <c r="C8" s="133">
        <f t="shared" si="2"/>
        <v>0.78156686189160429</v>
      </c>
      <c r="D8" s="133">
        <f t="shared" si="2"/>
        <v>0.81848755335679968</v>
      </c>
      <c r="E8" s="133">
        <f t="shared" si="2"/>
        <v>0.88686362107432848</v>
      </c>
      <c r="F8" s="133">
        <f t="shared" si="2"/>
        <v>1</v>
      </c>
      <c r="G8" s="133">
        <f t="shared" si="2"/>
        <v>1.1852965873569361</v>
      </c>
      <c r="H8" s="133">
        <f t="shared" si="2"/>
        <v>1.503657649907385</v>
      </c>
      <c r="I8" s="133">
        <f t="shared" si="2"/>
        <v>2.1137988872650513</v>
      </c>
      <c r="J8" s="133">
        <f t="shared" si="2"/>
        <v>3.5642255405212095</v>
      </c>
      <c r="K8" s="133">
        <f t="shared" si="2"/>
        <v>9.2958375947745573</v>
      </c>
      <c r="L8" s="133">
        <f t="shared" si="2"/>
        <v>274.24537645960282</v>
      </c>
      <c r="M8" s="133">
        <f t="shared" si="2"/>
        <v>8613.8982594805766</v>
      </c>
      <c r="N8" s="133">
        <f t="shared" si="2"/>
        <v>272211.52494244784</v>
      </c>
      <c r="O8" s="133">
        <f t="shared" si="2"/>
        <v>8607503.199663464</v>
      </c>
      <c r="P8" s="133">
        <f t="shared" si="2"/>
        <v>272191313.50566202</v>
      </c>
      <c r="Q8" s="133">
        <f t="shared" si="2"/>
        <v>8607439295.2438831</v>
      </c>
      <c r="R8" s="133">
        <f t="shared" si="2"/>
        <v>272191114080.92685</v>
      </c>
    </row>
    <row r="9" spans="1:18" x14ac:dyDescent="0.2">
      <c r="B9" s="131">
        <v>0.5</v>
      </c>
      <c r="C9" s="133">
        <f t="shared" si="2"/>
        <v>0.6593850604382494</v>
      </c>
      <c r="D9" s="133">
        <f t="shared" si="2"/>
        <v>0.69053396600248795</v>
      </c>
      <c r="E9" s="133">
        <f t="shared" si="2"/>
        <v>0.74822085082681622</v>
      </c>
      <c r="F9" s="133">
        <f t="shared" si="2"/>
        <v>0.84367069868131073</v>
      </c>
      <c r="G9" s="133">
        <f t="shared" si="2"/>
        <v>1</v>
      </c>
      <c r="H9" s="133">
        <f t="shared" si="2"/>
        <v>1.2685919000748616</v>
      </c>
      <c r="I9" s="133">
        <f t="shared" si="2"/>
        <v>1.7833501840906829</v>
      </c>
      <c r="J9" s="133">
        <f t="shared" si="2"/>
        <v>3.0070326520293018</v>
      </c>
      <c r="K9" s="133">
        <f t="shared" si="2"/>
        <v>7.8426257984114462</v>
      </c>
      <c r="L9" s="133">
        <f t="shared" si="2"/>
        <v>231.37278836779234</v>
      </c>
      <c r="M9" s="133">
        <f t="shared" si="2"/>
        <v>7267.2935629457033</v>
      </c>
      <c r="N9" s="133">
        <f t="shared" si="2"/>
        <v>229656.88743730015</v>
      </c>
      <c r="O9" s="133">
        <f t="shared" si="2"/>
        <v>7261898.2383616939</v>
      </c>
      <c r="P9" s="133">
        <f t="shared" si="2"/>
        <v>229639835.64030567</v>
      </c>
      <c r="Q9" s="133">
        <f t="shared" si="2"/>
        <v>7261844324.0753794</v>
      </c>
      <c r="R9" s="133">
        <f t="shared" si="2"/>
        <v>229639667391.49991</v>
      </c>
    </row>
    <row r="10" spans="1:18" x14ac:dyDescent="0.2">
      <c r="B10" s="132">
        <v>0.6</v>
      </c>
      <c r="C10" s="133">
        <f t="shared" si="2"/>
        <v>0.51977713274011783</v>
      </c>
      <c r="D10" s="133">
        <f t="shared" si="2"/>
        <v>0.54433105395181736</v>
      </c>
      <c r="E10" s="133">
        <f t="shared" si="2"/>
        <v>0.58980421582595843</v>
      </c>
      <c r="F10" s="133">
        <f t="shared" si="2"/>
        <v>0.665044998814453</v>
      </c>
      <c r="G10" s="133">
        <f t="shared" si="2"/>
        <v>0.78827556753356931</v>
      </c>
      <c r="H10" s="133">
        <f t="shared" si="2"/>
        <v>1</v>
      </c>
      <c r="I10" s="133">
        <f t="shared" si="2"/>
        <v>1.4057713784751782</v>
      </c>
      <c r="J10" s="133">
        <f t="shared" si="2"/>
        <v>2.3703703703703711</v>
      </c>
      <c r="K10" s="133">
        <f t="shared" si="2"/>
        <v>6.1821503021961934</v>
      </c>
      <c r="L10" s="133">
        <f t="shared" si="2"/>
        <v>182.38551606244584</v>
      </c>
      <c r="M10" s="133">
        <f t="shared" si="2"/>
        <v>5728.6299577640775</v>
      </c>
      <c r="N10" s="133">
        <f t="shared" si="2"/>
        <v>181032.9132826307</v>
      </c>
      <c r="O10" s="133">
        <f t="shared" si="2"/>
        <v>5724376.9552155882</v>
      </c>
      <c r="P10" s="133">
        <f t="shared" si="2"/>
        <v>181019471.76767746</v>
      </c>
      <c r="Q10" s="133">
        <f t="shared" si="2"/>
        <v>5724334455.9009466</v>
      </c>
      <c r="R10" s="133">
        <f t="shared" si="2"/>
        <v>181019339141.25458</v>
      </c>
    </row>
    <row r="11" spans="1:18" x14ac:dyDescent="0.2">
      <c r="B11" s="131">
        <v>0.7</v>
      </c>
      <c r="C11" s="133">
        <f t="shared" si="2"/>
        <v>0.36974513829120143</v>
      </c>
      <c r="D11" s="133">
        <f t="shared" si="2"/>
        <v>0.38721164926707075</v>
      </c>
      <c r="E11" s="133">
        <f t="shared" si="2"/>
        <v>0.41955912949779306</v>
      </c>
      <c r="F11" s="133">
        <f t="shared" si="2"/>
        <v>0.47308190293063057</v>
      </c>
      <c r="G11" s="133">
        <f t="shared" si="2"/>
        <v>0.56074236508400188</v>
      </c>
      <c r="H11" s="133">
        <f t="shared" si="2"/>
        <v>0.71135322237438559</v>
      </c>
      <c r="I11" s="133">
        <f t="shared" si="2"/>
        <v>1</v>
      </c>
      <c r="J11" s="133">
        <f t="shared" si="2"/>
        <v>1.6861706011837294</v>
      </c>
      <c r="K11" s="133">
        <f t="shared" si="2"/>
        <v>4.3976925386700438</v>
      </c>
      <c r="L11" s="133">
        <f t="shared" si="2"/>
        <v>129.74052456543612</v>
      </c>
      <c r="M11" s="133">
        <f t="shared" si="2"/>
        <v>4075.0793802459166</v>
      </c>
      <c r="N11" s="133">
        <f t="shared" si="2"/>
        <v>128778.34621942206</v>
      </c>
      <c r="O11" s="133">
        <f t="shared" si="2"/>
        <v>4072053.9931782829</v>
      </c>
      <c r="P11" s="133">
        <f t="shared" si="2"/>
        <v>128768784.55444647</v>
      </c>
      <c r="Q11" s="133">
        <f t="shared" si="2"/>
        <v>4072023761.1538625</v>
      </c>
      <c r="R11" s="133">
        <f t="shared" si="2"/>
        <v>128768690210.21323</v>
      </c>
    </row>
    <row r="12" spans="1:18" x14ac:dyDescent="0.2">
      <c r="B12" s="132">
        <v>0.8</v>
      </c>
      <c r="C12" s="133">
        <f t="shared" si="2"/>
        <v>0.21928097787473708</v>
      </c>
      <c r="D12" s="133">
        <f t="shared" si="2"/>
        <v>0.2296396633859229</v>
      </c>
      <c r="E12" s="133">
        <f t="shared" si="2"/>
        <v>0.2488236535515761</v>
      </c>
      <c r="F12" s="133">
        <f t="shared" si="2"/>
        <v>0.28056585887484725</v>
      </c>
      <c r="G12" s="133">
        <f t="shared" si="2"/>
        <v>0.33255375505322432</v>
      </c>
      <c r="H12" s="133">
        <f t="shared" si="2"/>
        <v>0.42187499999999978</v>
      </c>
      <c r="I12" s="133">
        <f t="shared" si="2"/>
        <v>0.59305980029421568</v>
      </c>
      <c r="J12" s="133">
        <f t="shared" si="2"/>
        <v>1</v>
      </c>
      <c r="K12" s="133">
        <f t="shared" si="2"/>
        <v>2.6080946587390179</v>
      </c>
      <c r="L12" s="133">
        <f t="shared" si="2"/>
        <v>76.943889588844286</v>
      </c>
      <c r="M12" s="133">
        <f t="shared" si="2"/>
        <v>2416.7657634317197</v>
      </c>
      <c r="N12" s="133">
        <f t="shared" si="2"/>
        <v>76373.260291109793</v>
      </c>
      <c r="O12" s="133">
        <f t="shared" si="2"/>
        <v>2414971.527981576</v>
      </c>
      <c r="P12" s="133">
        <f t="shared" si="2"/>
        <v>76367589.651988894</v>
      </c>
      <c r="Q12" s="133">
        <f t="shared" si="2"/>
        <v>2414953598.5832095</v>
      </c>
      <c r="R12" s="133">
        <f t="shared" si="2"/>
        <v>76367533700.216782</v>
      </c>
    </row>
    <row r="13" spans="1:18" x14ac:dyDescent="0.2">
      <c r="B13" s="131">
        <v>0.9</v>
      </c>
      <c r="C13" s="133">
        <f t="shared" si="2"/>
        <v>8.4077077931196259E-2</v>
      </c>
      <c r="D13" s="133">
        <f t="shared" si="2"/>
        <v>8.8048822390883186E-2</v>
      </c>
      <c r="E13" s="133">
        <f t="shared" si="2"/>
        <v>9.5404379867055647E-2</v>
      </c>
      <c r="F13" s="133">
        <f t="shared" si="2"/>
        <v>0.1075750291250922</v>
      </c>
      <c r="G13" s="133">
        <f t="shared" si="2"/>
        <v>0.12750831490679482</v>
      </c>
      <c r="H13" s="133">
        <f t="shared" si="2"/>
        <v>0.16175601548295462</v>
      </c>
      <c r="I13" s="133">
        <f t="shared" si="2"/>
        <v>0.22739197686212537</v>
      </c>
      <c r="J13" s="133">
        <f t="shared" si="2"/>
        <v>0.38342166632996666</v>
      </c>
      <c r="K13" s="133">
        <f t="shared" si="2"/>
        <v>1</v>
      </c>
      <c r="L13" s="133">
        <f t="shared" si="2"/>
        <v>29.501954360063653</v>
      </c>
      <c r="M13" s="133">
        <f t="shared" si="2"/>
        <v>926.64035614420425</v>
      </c>
      <c r="N13" s="133">
        <f t="shared" si="2"/>
        <v>29283.162723869595</v>
      </c>
      <c r="O13" s="133">
        <f t="shared" si="2"/>
        <v>925952.40739812143</v>
      </c>
      <c r="P13" s="133">
        <f t="shared" si="2"/>
        <v>29280988.477968697</v>
      </c>
      <c r="Q13" s="133">
        <f t="shared" si="2"/>
        <v>925945532.87832391</v>
      </c>
      <c r="R13" s="133">
        <f t="shared" si="2"/>
        <v>29280967024.846989</v>
      </c>
    </row>
    <row r="14" spans="1:18" x14ac:dyDescent="0.2">
      <c r="B14" s="132">
        <f>(9+B13)/10</f>
        <v>0.99</v>
      </c>
      <c r="C14" s="133">
        <f t="shared" si="2"/>
        <v>2.8498816351302503E-3</v>
      </c>
      <c r="D14" s="133">
        <f t="shared" si="2"/>
        <v>2.9845081216068013E-3</v>
      </c>
      <c r="E14" s="133">
        <f t="shared" si="2"/>
        <v>3.2338325353863024E-3</v>
      </c>
      <c r="F14" s="133">
        <f t="shared" si="2"/>
        <v>3.6463695866438893E-3</v>
      </c>
      <c r="G14" s="133">
        <f t="shared" si="2"/>
        <v>4.3220294272911259E-3</v>
      </c>
      <c r="H14" s="133">
        <f t="shared" si="2"/>
        <v>5.4828915233467125E-3</v>
      </c>
      <c r="I14" s="133">
        <f t="shared" si="2"/>
        <v>7.7076919748049789E-3</v>
      </c>
      <c r="J14" s="133">
        <f t="shared" si="2"/>
        <v>1.2996483610895917E-2</v>
      </c>
      <c r="K14" s="133">
        <f t="shared" si="2"/>
        <v>3.3896059487966826E-2</v>
      </c>
      <c r="L14" s="133">
        <f t="shared" si="2"/>
        <v>1</v>
      </c>
      <c r="M14" s="133">
        <f t="shared" si="2"/>
        <v>31.409456635814717</v>
      </c>
      <c r="N14" s="133">
        <f t="shared" si="2"/>
        <v>992.58382568409661</v>
      </c>
      <c r="O14" s="133">
        <f t="shared" si="2"/>
        <v>31386.13788419282</v>
      </c>
      <c r="P14" s="133">
        <f t="shared" si="2"/>
        <v>992510.12731569854</v>
      </c>
      <c r="Q14" s="133">
        <f t="shared" si="2"/>
        <v>31385904.865060821</v>
      </c>
      <c r="R14" s="133">
        <f t="shared" si="2"/>
        <v>992509400.13940871</v>
      </c>
    </row>
    <row r="15" spans="1:18" x14ac:dyDescent="0.2">
      <c r="B15" s="131">
        <f t="shared" ref="B15:B20" si="3">(9+B14)/10</f>
        <v>0.999</v>
      </c>
      <c r="C15" s="133">
        <f t="shared" si="2"/>
        <v>9.0733235795001539E-5</v>
      </c>
      <c r="D15" s="133">
        <f t="shared" si="2"/>
        <v>9.5019412663245798E-5</v>
      </c>
      <c r="E15" s="133">
        <f t="shared" si="2"/>
        <v>1.029572899933238E-4</v>
      </c>
      <c r="F15" s="133">
        <f t="shared" si="2"/>
        <v>1.1609145707048332E-4</v>
      </c>
      <c r="G15" s="133">
        <f t="shared" si="2"/>
        <v>1.3760280788693814E-4</v>
      </c>
      <c r="H15" s="133">
        <f t="shared" si="2"/>
        <v>1.7456180751292697E-4</v>
      </c>
      <c r="I15" s="133">
        <f t="shared" si="2"/>
        <v>2.4539399277656609E-4</v>
      </c>
      <c r="J15" s="133">
        <f t="shared" si="2"/>
        <v>4.1377613632693827E-4</v>
      </c>
      <c r="K15" s="133">
        <f t="shared" si="2"/>
        <v>1.0791673310679552E-3</v>
      </c>
      <c r="L15" s="133">
        <f t="shared" si="2"/>
        <v>3.1837545348038523E-2</v>
      </c>
      <c r="M15" s="133">
        <f t="shared" si="2"/>
        <v>1</v>
      </c>
      <c r="N15" s="133">
        <f t="shared" si="2"/>
        <v>31.601432561946979</v>
      </c>
      <c r="O15" s="133">
        <f t="shared" si="2"/>
        <v>999.25758818777854</v>
      </c>
      <c r="P15" s="133">
        <f t="shared" si="2"/>
        <v>31599.086186801029</v>
      </c>
      <c r="Q15" s="133">
        <f t="shared" si="2"/>
        <v>999250.16943059664</v>
      </c>
      <c r="R15" s="133">
        <f t="shared" si="2"/>
        <v>31599063.035292938</v>
      </c>
    </row>
    <row r="16" spans="1:18" x14ac:dyDescent="0.2">
      <c r="B16" s="132">
        <f t="shared" si="3"/>
        <v>0.99990000000000001</v>
      </c>
      <c r="C16" s="133">
        <f t="shared" si="2"/>
        <v>2.8711747676989294E-6</v>
      </c>
      <c r="D16" s="133">
        <f t="shared" si="2"/>
        <v>3.0068071273978855E-6</v>
      </c>
      <c r="E16" s="133">
        <f t="shared" si="2"/>
        <v>3.2579943897005575E-6</v>
      </c>
      <c r="F16" s="133">
        <f t="shared" si="2"/>
        <v>3.6736137465576602E-6</v>
      </c>
      <c r="G16" s="133">
        <f t="shared" si="2"/>
        <v>4.3543218370623241E-6</v>
      </c>
      <c r="H16" s="133">
        <f t="shared" si="2"/>
        <v>5.5238574128163541E-6</v>
      </c>
      <c r="I16" s="133">
        <f t="shared" si="2"/>
        <v>7.7652806497151791E-6</v>
      </c>
      <c r="J16" s="133">
        <f t="shared" si="2"/>
        <v>1.3093587941490627E-5</v>
      </c>
      <c r="K16" s="133">
        <f t="shared" si="2"/>
        <v>3.4149316773931299E-5</v>
      </c>
      <c r="L16" s="133">
        <f t="shared" si="2"/>
        <v>1.0074715848918776E-3</v>
      </c>
      <c r="M16" s="133">
        <f t="shared" si="2"/>
        <v>3.1644135057476951E-2</v>
      </c>
      <c r="N16" s="133">
        <f t="shared" si="2"/>
        <v>1</v>
      </c>
      <c r="O16" s="133">
        <f t="shared" si="2"/>
        <v>31.620642077822744</v>
      </c>
      <c r="P16" s="133">
        <f t="shared" si="2"/>
        <v>999.92575098798602</v>
      </c>
      <c r="Q16" s="133">
        <f t="shared" si="2"/>
        <v>31620.407317668505</v>
      </c>
      <c r="R16" s="133">
        <f t="shared" si="2"/>
        <v>999925.01837853703</v>
      </c>
    </row>
    <row r="17" spans="2:18" x14ac:dyDescent="0.2">
      <c r="B17" s="131">
        <f t="shared" si="3"/>
        <v>0.99999000000000005</v>
      </c>
      <c r="C17" s="133">
        <f t="shared" si="2"/>
        <v>9.0800647268090689E-8</v>
      </c>
      <c r="D17" s="133">
        <f t="shared" si="2"/>
        <v>9.5090008608861274E-8</v>
      </c>
      <c r="E17" s="133">
        <f t="shared" si="2"/>
        <v>1.0303378349124555E-7</v>
      </c>
      <c r="F17" s="133">
        <f t="shared" si="2"/>
        <v>1.1617770877379375E-7</v>
      </c>
      <c r="G17" s="133">
        <f t="shared" si="2"/>
        <v>1.3770504173652576E-7</v>
      </c>
      <c r="H17" s="133">
        <f t="shared" si="2"/>
        <v>1.7469150054642731E-7</v>
      </c>
      <c r="I17" s="133">
        <f t="shared" si="2"/>
        <v>2.4557631153104854E-7</v>
      </c>
      <c r="J17" s="133">
        <f t="shared" si="2"/>
        <v>4.1408355685079086E-7</v>
      </c>
      <c r="K17" s="133">
        <f t="shared" si="2"/>
        <v>1.0799691128942021E-6</v>
      </c>
      <c r="L17" s="133">
        <f t="shared" si="2"/>
        <v>3.1861199478883185E-5</v>
      </c>
      <c r="M17" s="133">
        <f t="shared" si="2"/>
        <v>1.0007429633970234E-3</v>
      </c>
      <c r="N17" s="133">
        <f t="shared" si="2"/>
        <v>3.1624911269634001E-2</v>
      </c>
      <c r="O17" s="133">
        <f t="shared" si="2"/>
        <v>1</v>
      </c>
      <c r="P17" s="133">
        <f t="shared" si="2"/>
        <v>31.622563151217207</v>
      </c>
      <c r="Q17" s="133">
        <f t="shared" si="2"/>
        <v>999.99257573095281</v>
      </c>
      <c r="R17" s="133">
        <f t="shared" si="2"/>
        <v>31622.539982508391</v>
      </c>
    </row>
    <row r="18" spans="2:18" x14ac:dyDescent="0.2">
      <c r="B18" s="132">
        <f t="shared" si="3"/>
        <v>0.99999900000000008</v>
      </c>
      <c r="C18" s="133">
        <f t="shared" si="2"/>
        <v>2.8713879654184718E-9</v>
      </c>
      <c r="D18" s="133">
        <f t="shared" si="2"/>
        <v>3.0070303964339167E-9</v>
      </c>
      <c r="E18" s="133">
        <f t="shared" si="2"/>
        <v>3.2582363105275216E-9</v>
      </c>
      <c r="F18" s="133">
        <f t="shared" si="2"/>
        <v>3.6738865290026899E-9</v>
      </c>
      <c r="G18" s="133">
        <f t="shared" si="2"/>
        <v>4.3546451651635087E-9</v>
      </c>
      <c r="H18" s="133">
        <f t="shared" si="2"/>
        <v>5.5242675842265835E-9</v>
      </c>
      <c r="I18" s="133">
        <f t="shared" si="2"/>
        <v>7.7658572569439528E-9</v>
      </c>
      <c r="J18" s="133">
        <f t="shared" si="2"/>
        <v>1.3094560199648208E-8</v>
      </c>
      <c r="K18" s="133">
        <f t="shared" si="2"/>
        <v>3.4151852515239017E-8</v>
      </c>
      <c r="L18" s="133">
        <f t="shared" si="2"/>
        <v>1.0075463942162065E-6</v>
      </c>
      <c r="M18" s="133">
        <f t="shared" si="2"/>
        <v>3.1646484777705393E-5</v>
      </c>
      <c r="N18" s="133">
        <f t="shared" si="2"/>
        <v>1.0000742545253395E-3</v>
      </c>
      <c r="O18" s="133">
        <f t="shared" si="2"/>
        <v>3.1622990053591156E-2</v>
      </c>
      <c r="P18" s="133">
        <f t="shared" si="2"/>
        <v>1</v>
      </c>
      <c r="Q18" s="133">
        <f t="shared" si="2"/>
        <v>31.622755276004924</v>
      </c>
      <c r="R18" s="133">
        <f t="shared" si="2"/>
        <v>999.99926733615143</v>
      </c>
    </row>
    <row r="19" spans="2:18" x14ac:dyDescent="0.2">
      <c r="B19" s="131">
        <f t="shared" si="3"/>
        <v>0.99999990000000005</v>
      </c>
      <c r="C19" s="133">
        <f t="shared" si="2"/>
        <v>9.0801321401530626E-11</v>
      </c>
      <c r="D19" s="133">
        <f t="shared" si="2"/>
        <v>9.5090714587910235E-11</v>
      </c>
      <c r="E19" s="133">
        <f t="shared" si="2"/>
        <v>1.0303454844745439E-10</v>
      </c>
      <c r="F19" s="133">
        <f t="shared" si="2"/>
        <v>1.1617857131476473E-10</v>
      </c>
      <c r="G19" s="133">
        <f t="shared" si="2"/>
        <v>1.3770606410339513E-10</v>
      </c>
      <c r="H19" s="133">
        <f t="shared" si="2"/>
        <v>1.7469279751275662E-10</v>
      </c>
      <c r="I19" s="133">
        <f t="shared" si="2"/>
        <v>2.455781347691932E-10</v>
      </c>
      <c r="J19" s="133">
        <f t="shared" si="2"/>
        <v>4.1408663114134944E-10</v>
      </c>
      <c r="K19" s="133">
        <f t="shared" si="2"/>
        <v>1.0799771309349867E-9</v>
      </c>
      <c r="L19" s="133">
        <f t="shared" si="2"/>
        <v>3.186143602675647E-8</v>
      </c>
      <c r="M19" s="133">
        <f t="shared" si="2"/>
        <v>1.000750393237192E-6</v>
      </c>
      <c r="N19" s="133">
        <f t="shared" si="2"/>
        <v>3.1625146063227061E-5</v>
      </c>
      <c r="O19" s="133">
        <f t="shared" si="2"/>
        <v>1.0000074243241676E-3</v>
      </c>
      <c r="P19" s="133">
        <f t="shared" si="2"/>
        <v>3.1622797927377051E-2</v>
      </c>
      <c r="Q19" s="133">
        <f t="shared" si="2"/>
        <v>1</v>
      </c>
      <c r="R19" s="133">
        <f t="shared" si="2"/>
        <v>31.622774758496217</v>
      </c>
    </row>
    <row r="20" spans="2:18" x14ac:dyDescent="0.2">
      <c r="B20" s="132">
        <f t="shared" si="3"/>
        <v>0.99999999000000006</v>
      </c>
      <c r="C20" s="133">
        <f t="shared" si="2"/>
        <v>2.871390069182171E-12</v>
      </c>
      <c r="D20" s="133">
        <f t="shared" si="2"/>
        <v>3.0070325995779944E-12</v>
      </c>
      <c r="E20" s="133">
        <f t="shared" si="2"/>
        <v>3.2582386977212258E-12</v>
      </c>
      <c r="F20" s="133">
        <f t="shared" si="2"/>
        <v>3.6738892207285069E-12</v>
      </c>
      <c r="G20" s="133">
        <f t="shared" si="2"/>
        <v>4.3546483556569336E-12</v>
      </c>
      <c r="H20" s="133">
        <f t="shared" si="2"/>
        <v>5.524271631660697E-12</v>
      </c>
      <c r="I20" s="133">
        <f t="shared" si="2"/>
        <v>7.7658629467109835E-12</v>
      </c>
      <c r="J20" s="133">
        <f t="shared" si="2"/>
        <v>1.3094569793566108E-11</v>
      </c>
      <c r="K20" s="133">
        <f t="shared" si="2"/>
        <v>3.4151877537085048E-11</v>
      </c>
      <c r="L20" s="133">
        <f t="shared" si="2"/>
        <v>1.0075471324095661E-9</v>
      </c>
      <c r="M20" s="133">
        <f t="shared" si="2"/>
        <v>3.1646507963957723E-8</v>
      </c>
      <c r="N20" s="133">
        <f t="shared" si="2"/>
        <v>1.0000749872441284E-6</v>
      </c>
      <c r="O20" s="133">
        <f t="shared" si="2"/>
        <v>3.1623013222629729E-5</v>
      </c>
      <c r="P20" s="133">
        <f t="shared" si="2"/>
        <v>1.0000007326643853E-3</v>
      </c>
      <c r="Q20" s="133">
        <f t="shared" si="2"/>
        <v>3.1622778444871484E-2</v>
      </c>
      <c r="R20" s="133">
        <f t="shared" si="2"/>
        <v>1</v>
      </c>
    </row>
    <row r="26" spans="2:18" x14ac:dyDescent="0.2">
      <c r="B26" t="s">
        <v>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77ED1-36E2-3D43-8E72-5F030AC4B77C}">
  <dimension ref="A3:O27"/>
  <sheetViews>
    <sheetView tabSelected="1" zoomScale="179" workbookViewId="0">
      <selection activeCell="D27" sqref="D27"/>
    </sheetView>
  </sheetViews>
  <sheetFormatPr baseColWidth="10" defaultRowHeight="16" x14ac:dyDescent="0.2"/>
  <cols>
    <col min="1" max="1" width="14.6640625" bestFit="1" customWidth="1"/>
    <col min="2" max="2" width="12" bestFit="1" customWidth="1"/>
    <col min="3" max="3" width="26.83203125" bestFit="1" customWidth="1"/>
    <col min="4" max="4" width="15.83203125" bestFit="1" customWidth="1"/>
    <col min="12" max="12" width="15.83203125" bestFit="1" customWidth="1"/>
  </cols>
  <sheetData>
    <row r="3" spans="2:15" x14ac:dyDescent="0.2">
      <c r="B3" t="s">
        <v>353</v>
      </c>
      <c r="C3" s="7" t="s">
        <v>423</v>
      </c>
      <c r="D3" t="s">
        <v>422</v>
      </c>
    </row>
    <row r="4" spans="2:15" x14ac:dyDescent="0.2">
      <c r="B4" t="s">
        <v>354</v>
      </c>
      <c r="C4" s="149">
        <v>299792458</v>
      </c>
      <c r="D4" t="s">
        <v>421</v>
      </c>
    </row>
    <row r="5" spans="2:15" x14ac:dyDescent="0.2">
      <c r="B5" t="s">
        <v>121</v>
      </c>
      <c r="C5" s="150">
        <f>6.62607015E-34</f>
        <v>6.6260701499999998E-34</v>
      </c>
      <c r="D5" t="s">
        <v>425</v>
      </c>
    </row>
    <row r="6" spans="2:15" x14ac:dyDescent="0.2">
      <c r="B6" t="s">
        <v>427</v>
      </c>
      <c r="C6" s="133">
        <v>6.24E+18</v>
      </c>
      <c r="D6" t="s">
        <v>428</v>
      </c>
    </row>
    <row r="7" spans="2:15" x14ac:dyDescent="0.2">
      <c r="B7" t="s">
        <v>424</v>
      </c>
    </row>
    <row r="8" spans="2:15" x14ac:dyDescent="0.2">
      <c r="B8" t="s">
        <v>429</v>
      </c>
      <c r="C8" s="141">
        <f>1.616255E-35</f>
        <v>1.6162550000000001E-35</v>
      </c>
    </row>
    <row r="9" spans="2:15" ht="18" x14ac:dyDescent="0.2">
      <c r="B9" t="s">
        <v>431</v>
      </c>
      <c r="C9" s="143">
        <f>0.000000000066743</f>
        <v>6.6742999999999994E-11</v>
      </c>
      <c r="D9" t="s">
        <v>432</v>
      </c>
    </row>
    <row r="10" spans="2:15" x14ac:dyDescent="0.2">
      <c r="B10" t="s">
        <v>430</v>
      </c>
      <c r="C10" t="s">
        <v>433</v>
      </c>
    </row>
    <row r="11" spans="2:15" x14ac:dyDescent="0.2">
      <c r="B11" t="s">
        <v>442</v>
      </c>
      <c r="C11" s="148">
        <f>SQRT((h/(2*PI()))*C9/POWER(C4,3))</f>
        <v>1.6162550244237053E-35</v>
      </c>
      <c r="E11" t="s">
        <v>443</v>
      </c>
    </row>
    <row r="13" spans="2:15" ht="18" x14ac:dyDescent="0.2">
      <c r="B13" s="7" t="s">
        <v>355</v>
      </c>
      <c r="C13" s="7" t="s">
        <v>357</v>
      </c>
      <c r="D13" s="7" t="s">
        <v>357</v>
      </c>
      <c r="H13" s="142" t="s">
        <v>357</v>
      </c>
      <c r="I13" s="142" t="s">
        <v>357</v>
      </c>
      <c r="J13" s="142" t="s">
        <v>357</v>
      </c>
      <c r="K13" s="142" t="s">
        <v>359</v>
      </c>
      <c r="L13" s="142" t="s">
        <v>355</v>
      </c>
      <c r="M13" s="142" t="s">
        <v>360</v>
      </c>
      <c r="N13" s="142" t="s">
        <v>361</v>
      </c>
    </row>
    <row r="14" spans="2:15" ht="18" x14ac:dyDescent="0.2">
      <c r="B14" s="7" t="s">
        <v>356</v>
      </c>
      <c r="C14" s="7" t="s">
        <v>426</v>
      </c>
      <c r="D14" s="7" t="s">
        <v>358</v>
      </c>
      <c r="G14" s="143"/>
      <c r="H14" s="142" t="s">
        <v>358</v>
      </c>
      <c r="I14" s="142" t="s">
        <v>358</v>
      </c>
      <c r="J14" s="142" t="s">
        <v>362</v>
      </c>
      <c r="K14" s="142" t="s">
        <v>363</v>
      </c>
      <c r="L14" s="142" t="s">
        <v>356</v>
      </c>
      <c r="M14" s="142" t="s">
        <v>364</v>
      </c>
      <c r="N14" s="142"/>
    </row>
    <row r="15" spans="2:15" ht="18" x14ac:dyDescent="0.2">
      <c r="B15" s="114">
        <f>2.42E-25</f>
        <v>2.42E-25</v>
      </c>
      <c r="C15" s="133">
        <f>h*$C$4/B15</f>
        <v>0.82084539551608615</v>
      </c>
      <c r="D15" s="133">
        <f>$C$6*C15</f>
        <v>5.1220752680203776E+18</v>
      </c>
      <c r="H15" s="143"/>
      <c r="I15" s="143">
        <v>1</v>
      </c>
      <c r="J15" s="143">
        <v>1</v>
      </c>
      <c r="K15" s="144" t="s">
        <v>365</v>
      </c>
      <c r="L15" s="143" t="s">
        <v>366</v>
      </c>
      <c r="M15" s="143" t="s">
        <v>367</v>
      </c>
      <c r="N15" s="143" t="s">
        <v>368</v>
      </c>
      <c r="O15" s="143" t="s">
        <v>369</v>
      </c>
    </row>
    <row r="16" spans="2:15" ht="18" x14ac:dyDescent="0.2">
      <c r="B16" s="145">
        <v>1.2000000000000001E-19</v>
      </c>
      <c r="C16" s="133">
        <f>h*$C$4/B16</f>
        <v>1.6553715476241071E-6</v>
      </c>
      <c r="D16" s="145">
        <f t="shared" ref="D16:D18" si="0">$C$6*C16</f>
        <v>10329518457174.428</v>
      </c>
      <c r="H16" s="143" t="s">
        <v>370</v>
      </c>
      <c r="I16" s="143" t="s">
        <v>371</v>
      </c>
      <c r="J16" s="143" t="s">
        <v>372</v>
      </c>
      <c r="K16" s="143" t="s">
        <v>373</v>
      </c>
      <c r="L16" s="114" t="s">
        <v>434</v>
      </c>
      <c r="M16" s="143" t="s">
        <v>374</v>
      </c>
      <c r="N16" s="143" t="s">
        <v>375</v>
      </c>
      <c r="O16" s="143"/>
    </row>
    <row r="17" spans="1:14" ht="18" x14ac:dyDescent="0.2">
      <c r="B17" s="147">
        <v>1.2E-22</v>
      </c>
      <c r="C17" s="133">
        <f>h*$C$4/B17</f>
        <v>1.6553715476241072E-3</v>
      </c>
      <c r="D17" s="147">
        <f t="shared" si="0"/>
        <v>1.0329518457174428E+16</v>
      </c>
      <c r="H17" s="143" t="s">
        <v>376</v>
      </c>
      <c r="I17" s="143" t="s">
        <v>377</v>
      </c>
      <c r="J17" s="143" t="s">
        <v>378</v>
      </c>
      <c r="K17" s="143" t="s">
        <v>379</v>
      </c>
      <c r="L17" s="143" t="s">
        <v>380</v>
      </c>
      <c r="M17" s="143" t="s">
        <v>381</v>
      </c>
      <c r="N17" s="143" t="s">
        <v>382</v>
      </c>
    </row>
    <row r="18" spans="1:14" ht="18" x14ac:dyDescent="0.2">
      <c r="B18" s="133">
        <v>1.2E-25</v>
      </c>
      <c r="C18" s="133">
        <f>h*$C$4/B18</f>
        <v>1.6553715476241071</v>
      </c>
      <c r="D18" s="133">
        <f t="shared" si="0"/>
        <v>1.0329518457174428E+19</v>
      </c>
      <c r="H18" s="143" t="s">
        <v>383</v>
      </c>
      <c r="I18" s="146" t="s">
        <v>438</v>
      </c>
      <c r="J18" s="143" t="s">
        <v>384</v>
      </c>
      <c r="K18" s="143" t="s">
        <v>385</v>
      </c>
      <c r="L18" s="146" t="s">
        <v>435</v>
      </c>
      <c r="M18" s="143"/>
      <c r="N18" s="143" t="s">
        <v>386</v>
      </c>
    </row>
    <row r="19" spans="1:14" ht="18" x14ac:dyDescent="0.2">
      <c r="A19" t="s">
        <v>440</v>
      </c>
      <c r="B19" s="152">
        <f>C11*2*PI()</f>
        <v>1.0155229822114207E-34</v>
      </c>
      <c r="C19" s="133">
        <f>h*$C$4/B19</f>
        <v>1956081636.6983731</v>
      </c>
      <c r="D19" s="153">
        <f>$C$6*C19</f>
        <v>1.2205949412997848E+28</v>
      </c>
      <c r="E19" t="s">
        <v>430</v>
      </c>
      <c r="H19" s="143" t="s">
        <v>387</v>
      </c>
      <c r="I19" s="143" t="s">
        <v>388</v>
      </c>
      <c r="J19" s="143" t="s">
        <v>389</v>
      </c>
      <c r="K19" s="143" t="s">
        <v>390</v>
      </c>
      <c r="L19" s="143" t="s">
        <v>391</v>
      </c>
      <c r="M19" s="143" t="s">
        <v>392</v>
      </c>
      <c r="N19" s="143" t="s">
        <v>393</v>
      </c>
    </row>
    <row r="20" spans="1:14" ht="18" x14ac:dyDescent="0.2">
      <c r="B20" s="143"/>
      <c r="H20" s="143" t="s">
        <v>395</v>
      </c>
      <c r="I20" s="143" t="s">
        <v>396</v>
      </c>
      <c r="J20" s="143" t="s">
        <v>397</v>
      </c>
      <c r="K20" s="143" t="s">
        <v>398</v>
      </c>
      <c r="L20" s="143" t="s">
        <v>399</v>
      </c>
      <c r="M20" s="143"/>
      <c r="N20" s="143"/>
    </row>
    <row r="21" spans="1:14" ht="18" x14ac:dyDescent="0.2">
      <c r="A21" t="s">
        <v>433</v>
      </c>
      <c r="B21" s="143" t="s">
        <v>437</v>
      </c>
      <c r="C21" s="133">
        <f>SQRT((h/(2*PI()))*POWER(C4,5)/C9)</f>
        <v>1956081636.6983728</v>
      </c>
      <c r="D21" s="151">
        <f>$C$6*C21</f>
        <v>1.2205949412997846E+28</v>
      </c>
      <c r="E21" t="s">
        <v>430</v>
      </c>
      <c r="H21" s="143" t="s">
        <v>400</v>
      </c>
      <c r="I21" s="6" t="s">
        <v>439</v>
      </c>
      <c r="J21" s="143" t="s">
        <v>401</v>
      </c>
      <c r="K21" s="143" t="s">
        <v>402</v>
      </c>
      <c r="L21" s="6" t="s">
        <v>436</v>
      </c>
      <c r="M21" s="143" t="s">
        <v>403</v>
      </c>
      <c r="N21" s="143"/>
    </row>
    <row r="22" spans="1:14" ht="18" x14ac:dyDescent="0.2">
      <c r="B22" s="143"/>
      <c r="H22" s="143" t="s">
        <v>404</v>
      </c>
      <c r="I22" s="143" t="s">
        <v>405</v>
      </c>
      <c r="J22" s="143" t="s">
        <v>406</v>
      </c>
      <c r="K22" s="143" t="s">
        <v>407</v>
      </c>
      <c r="L22" s="143" t="s">
        <v>408</v>
      </c>
      <c r="M22" s="143"/>
      <c r="N22" s="143" t="s">
        <v>409</v>
      </c>
    </row>
    <row r="23" spans="1:14" ht="18" x14ac:dyDescent="0.2">
      <c r="B23" s="143"/>
      <c r="D23" s="133"/>
      <c r="G23" s="144" t="s">
        <v>394</v>
      </c>
      <c r="H23" s="143" t="s">
        <v>410</v>
      </c>
      <c r="I23" s="143" t="s">
        <v>411</v>
      </c>
      <c r="J23" s="143" t="s">
        <v>412</v>
      </c>
      <c r="K23" s="143" t="s">
        <v>413</v>
      </c>
      <c r="L23" s="143" t="s">
        <v>414</v>
      </c>
      <c r="M23" s="143"/>
      <c r="N23" s="143"/>
    </row>
    <row r="24" spans="1:14" ht="18" x14ac:dyDescent="0.2">
      <c r="B24" s="143" t="s">
        <v>445</v>
      </c>
      <c r="H24" s="143" t="s">
        <v>415</v>
      </c>
      <c r="I24" s="143" t="s">
        <v>416</v>
      </c>
      <c r="J24" s="143" t="s">
        <v>417</v>
      </c>
      <c r="K24" s="143" t="s">
        <v>418</v>
      </c>
      <c r="L24" s="143" t="s">
        <v>419</v>
      </c>
      <c r="M24" s="143" t="s">
        <v>420</v>
      </c>
    </row>
    <row r="25" spans="1:14" ht="18" x14ac:dyDescent="0.2">
      <c r="B25" s="143" t="s">
        <v>444</v>
      </c>
    </row>
    <row r="26" spans="1:14" ht="18" x14ac:dyDescent="0.2">
      <c r="B26" s="143"/>
    </row>
    <row r="27" spans="1:14" ht="18" x14ac:dyDescent="0.2">
      <c r="B27" s="143" t="s">
        <v>446</v>
      </c>
      <c r="D27" s="154">
        <f>C4/B19</f>
        <v>2.9520991966835318E+42</v>
      </c>
      <c r="G27" t="s">
        <v>441</v>
      </c>
    </row>
  </sheetData>
  <hyperlinks>
    <hyperlink ref="K15" r:id="rId1" tooltip="Attojoule" display="https://en.wikipedia.org/wiki/Attojoule" xr:uid="{85BDDCD7-2FFA-1C49-AB90-501CF81D563B}"/>
    <hyperlink ref="G23" r:id="rId2" tooltip="Ultra-high-energy gamma ray" display="https://en.wikipedia.org/wiki/Ultra-high-energy_gamma_ray" xr:uid="{808D20E9-0502-BE43-A5F5-042E3CBBBD4C}"/>
  </hyperlinks>
  <pageMargins left="0.7" right="0.7" top="0.75" bottom="0.75" header="0.3" footer="0.3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7C1D0-90CE-9341-A3F6-3B947CD7E28E}">
  <dimension ref="A2:E14"/>
  <sheetViews>
    <sheetView zoomScale="150" workbookViewId="0">
      <selection activeCell="D10" sqref="D10:D11"/>
    </sheetView>
  </sheetViews>
  <sheetFormatPr baseColWidth="10" defaultRowHeight="16" x14ac:dyDescent="0.2"/>
  <cols>
    <col min="3" max="3" width="19.33203125" style="9" customWidth="1"/>
    <col min="4" max="4" width="15.5" bestFit="1" customWidth="1"/>
  </cols>
  <sheetData>
    <row r="2" spans="1:5" x14ac:dyDescent="0.2">
      <c r="B2" t="s">
        <v>27</v>
      </c>
      <c r="C2" s="9" t="s">
        <v>40</v>
      </c>
      <c r="E2" t="s">
        <v>42</v>
      </c>
    </row>
    <row r="3" spans="1:5" x14ac:dyDescent="0.2">
      <c r="B3" t="s">
        <v>28</v>
      </c>
      <c r="C3" s="10">
        <v>2300000</v>
      </c>
    </row>
    <row r="4" spans="1:5" x14ac:dyDescent="0.2">
      <c r="B4" t="s">
        <v>29</v>
      </c>
      <c r="C4" s="10">
        <v>1290000000</v>
      </c>
      <c r="D4" s="11"/>
    </row>
    <row r="5" spans="1:5" x14ac:dyDescent="0.2">
      <c r="B5" t="s">
        <v>30</v>
      </c>
      <c r="C5" s="10">
        <v>172440000000</v>
      </c>
      <c r="D5" s="11"/>
      <c r="E5">
        <f>SUM(C3:C5)/POWER(SQRT(C3)+SQRT(C4)+SQRT(C5),2)</f>
        <v>0.84776354454188707</v>
      </c>
    </row>
    <row r="6" spans="1:5" x14ac:dyDescent="0.2">
      <c r="B6" t="s">
        <v>31</v>
      </c>
      <c r="C6" s="10">
        <v>4800000</v>
      </c>
      <c r="D6" s="11"/>
    </row>
    <row r="7" spans="1:5" x14ac:dyDescent="0.2">
      <c r="B7" t="s">
        <v>32</v>
      </c>
      <c r="C7" s="10">
        <v>95000000</v>
      </c>
      <c r="D7" s="11"/>
    </row>
    <row r="8" spans="1:5" x14ac:dyDescent="0.2">
      <c r="B8" t="s">
        <v>33</v>
      </c>
      <c r="C8" s="10">
        <v>4180000000</v>
      </c>
      <c r="D8" s="11"/>
      <c r="E8">
        <f>SUM(C6:C8)/POWER(SQRT(C6)+SQRT(C7)+SQRT(C8),2)</f>
        <v>0.72957926847682075</v>
      </c>
    </row>
    <row r="9" spans="1:5" x14ac:dyDescent="0.2">
      <c r="B9" t="s">
        <v>34</v>
      </c>
      <c r="C9" s="10">
        <v>510998.946</v>
      </c>
    </row>
    <row r="10" spans="1:5" x14ac:dyDescent="0.2">
      <c r="B10" t="s">
        <v>35</v>
      </c>
      <c r="C10" s="10">
        <v>105658374.5</v>
      </c>
      <c r="D10" s="11"/>
    </row>
    <row r="11" spans="1:5" x14ac:dyDescent="0.2">
      <c r="B11" t="s">
        <v>36</v>
      </c>
      <c r="C11" s="10">
        <v>1776860000</v>
      </c>
      <c r="D11" s="11"/>
      <c r="E11">
        <f>SUM(C9:C11)/POWER(SQRT(C9)+SQRT(C10)+SQRT(C11),2)</f>
        <v>0.66666051241245172</v>
      </c>
    </row>
    <row r="12" spans="1:5" x14ac:dyDescent="0.2">
      <c r="A12" t="s">
        <v>41</v>
      </c>
      <c r="B12" t="s">
        <v>37</v>
      </c>
      <c r="C12" s="10">
        <v>2</v>
      </c>
    </row>
    <row r="13" spans="1:5" x14ac:dyDescent="0.2">
      <c r="A13" t="s">
        <v>41</v>
      </c>
      <c r="B13" t="s">
        <v>38</v>
      </c>
      <c r="C13" s="10">
        <v>190000</v>
      </c>
      <c r="D13" s="11"/>
    </row>
    <row r="14" spans="1:5" x14ac:dyDescent="0.2">
      <c r="A14" t="s">
        <v>41</v>
      </c>
      <c r="B14" t="s">
        <v>39</v>
      </c>
      <c r="C14" s="10">
        <v>18200000</v>
      </c>
      <c r="D14" s="11"/>
      <c r="E14">
        <f>SUM(C12:C14)/POWER(SQRT(C12)+SQRT(C13)+SQRT(C14),2)</f>
        <v>0.83128267616565732</v>
      </c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0DB9F-27FF-EC46-B698-6FC0D371E30C}">
  <sheetPr>
    <tabColor rgb="FF00B050"/>
  </sheetPr>
  <dimension ref="A2:J46"/>
  <sheetViews>
    <sheetView topLeftCell="A60" zoomScale="150" zoomScaleNormal="150" workbookViewId="0">
      <selection activeCell="E10" sqref="E10"/>
    </sheetView>
  </sheetViews>
  <sheetFormatPr baseColWidth="10" defaultRowHeight="16" x14ac:dyDescent="0.2"/>
  <cols>
    <col min="2" max="7" width="21" customWidth="1"/>
    <col min="8" max="8" width="20.6640625" customWidth="1"/>
    <col min="9" max="9" width="17.83203125" customWidth="1"/>
  </cols>
  <sheetData>
    <row r="2" spans="1:10" x14ac:dyDescent="0.2">
      <c r="B2" t="s">
        <v>222</v>
      </c>
    </row>
    <row r="5" spans="1:10" ht="17" thickBot="1" x14ac:dyDescent="0.25">
      <c r="A5" s="56"/>
      <c r="B5" s="34" t="s">
        <v>44</v>
      </c>
      <c r="C5" s="60" t="s">
        <v>209</v>
      </c>
      <c r="D5" s="34"/>
      <c r="E5" s="34" t="s">
        <v>149</v>
      </c>
      <c r="F5" s="34" t="s">
        <v>46</v>
      </c>
      <c r="G5" s="34" t="s">
        <v>47</v>
      </c>
      <c r="H5" s="34" t="s">
        <v>204</v>
      </c>
    </row>
    <row r="6" spans="1:10" x14ac:dyDescent="0.2">
      <c r="A6" s="56">
        <v>1</v>
      </c>
      <c r="B6" s="72" t="s">
        <v>100</v>
      </c>
      <c r="C6" s="73" t="s">
        <v>119</v>
      </c>
      <c r="D6" s="74" t="s">
        <v>122</v>
      </c>
      <c r="E6" s="31" t="s">
        <v>153</v>
      </c>
      <c r="F6" s="31" t="s">
        <v>178</v>
      </c>
      <c r="G6" s="31" t="s">
        <v>145</v>
      </c>
      <c r="H6" s="31">
        <v>0</v>
      </c>
      <c r="I6" t="s">
        <v>123</v>
      </c>
      <c r="J6" s="41" t="s">
        <v>176</v>
      </c>
    </row>
    <row r="7" spans="1:10" x14ac:dyDescent="0.2">
      <c r="A7" s="56">
        <v>2</v>
      </c>
      <c r="B7" s="72" t="s">
        <v>104</v>
      </c>
      <c r="C7" s="75" t="s">
        <v>120</v>
      </c>
      <c r="D7" s="74" t="s">
        <v>122</v>
      </c>
      <c r="E7" s="31" t="s">
        <v>154</v>
      </c>
      <c r="F7" s="31">
        <v>0</v>
      </c>
      <c r="G7" s="31" t="s">
        <v>146</v>
      </c>
      <c r="H7" s="31" t="s">
        <v>116</v>
      </c>
      <c r="J7" s="41" t="s">
        <v>176</v>
      </c>
    </row>
    <row r="8" spans="1:10" ht="17" thickBot="1" x14ac:dyDescent="0.25">
      <c r="A8" s="56">
        <v>3</v>
      </c>
      <c r="B8" s="72" t="s">
        <v>105</v>
      </c>
      <c r="C8" s="76" t="s">
        <v>121</v>
      </c>
      <c r="D8" s="74" t="s">
        <v>122</v>
      </c>
      <c r="E8" s="31" t="s">
        <v>155</v>
      </c>
      <c r="F8" s="31">
        <v>0</v>
      </c>
      <c r="G8" s="31" t="s">
        <v>147</v>
      </c>
      <c r="H8" s="31" t="s">
        <v>117</v>
      </c>
      <c r="J8" s="41" t="s">
        <v>176</v>
      </c>
    </row>
    <row r="9" spans="1:10" x14ac:dyDescent="0.2">
      <c r="A9" s="71">
        <v>4</v>
      </c>
      <c r="B9" s="45" t="s">
        <v>32</v>
      </c>
      <c r="C9" s="64" t="s">
        <v>32</v>
      </c>
      <c r="D9" s="46" t="s">
        <v>122</v>
      </c>
      <c r="E9" s="46" t="s">
        <v>151</v>
      </c>
      <c r="F9" s="47" t="s">
        <v>87</v>
      </c>
      <c r="G9" s="46" t="s">
        <v>150</v>
      </c>
      <c r="H9" s="45">
        <v>0</v>
      </c>
    </row>
    <row r="10" spans="1:10" ht="17" thickBot="1" x14ac:dyDescent="0.25">
      <c r="A10" s="71"/>
      <c r="B10" s="80" t="s">
        <v>32</v>
      </c>
      <c r="C10" s="59" t="s">
        <v>32</v>
      </c>
      <c r="D10" s="81" t="s">
        <v>172</v>
      </c>
      <c r="E10" s="78"/>
      <c r="F10" s="82" t="s">
        <v>223</v>
      </c>
      <c r="G10" s="78"/>
      <c r="H10" s="79">
        <v>0</v>
      </c>
    </row>
    <row r="11" spans="1:10" x14ac:dyDescent="0.2">
      <c r="A11" s="71">
        <v>5</v>
      </c>
      <c r="B11" s="68" t="s">
        <v>135</v>
      </c>
      <c r="C11" s="66" t="s">
        <v>156</v>
      </c>
      <c r="D11" s="54" t="s">
        <v>172</v>
      </c>
      <c r="E11" s="49" t="s">
        <v>50</v>
      </c>
      <c r="F11" s="39" t="s">
        <v>87</v>
      </c>
      <c r="G11" s="49" t="s">
        <v>129</v>
      </c>
      <c r="H11" s="39" t="s">
        <v>110</v>
      </c>
    </row>
    <row r="12" spans="1:10" x14ac:dyDescent="0.2">
      <c r="A12" s="56">
        <v>6</v>
      </c>
      <c r="B12" s="67" t="s">
        <v>136</v>
      </c>
      <c r="C12" s="62" t="s">
        <v>157</v>
      </c>
      <c r="D12" s="44" t="s">
        <v>122</v>
      </c>
      <c r="E12" s="35" t="s">
        <v>56</v>
      </c>
      <c r="F12" s="36" t="s">
        <v>87</v>
      </c>
      <c r="G12" s="35" t="s">
        <v>174</v>
      </c>
      <c r="H12" s="36" t="s">
        <v>111</v>
      </c>
    </row>
    <row r="13" spans="1:10" ht="17" thickBot="1" x14ac:dyDescent="0.25">
      <c r="A13" s="56">
        <v>7</v>
      </c>
      <c r="B13" s="69" t="s">
        <v>137</v>
      </c>
      <c r="C13" s="63" t="s">
        <v>158</v>
      </c>
      <c r="D13" s="44" t="s">
        <v>122</v>
      </c>
      <c r="E13" s="36" t="s">
        <v>63</v>
      </c>
      <c r="F13" s="36" t="s">
        <v>87</v>
      </c>
      <c r="G13" s="35" t="s">
        <v>175</v>
      </c>
      <c r="H13" s="35" t="s">
        <v>133</v>
      </c>
    </row>
    <row r="14" spans="1:10" ht="17" thickBot="1" x14ac:dyDescent="0.25">
      <c r="A14" s="71">
        <v>8</v>
      </c>
      <c r="B14" s="49" t="s">
        <v>30</v>
      </c>
      <c r="C14" s="40" t="s">
        <v>30</v>
      </c>
      <c r="D14" s="49" t="s">
        <v>172</v>
      </c>
      <c r="E14" s="39" t="s">
        <v>152</v>
      </c>
      <c r="F14" s="50" t="s">
        <v>177</v>
      </c>
      <c r="G14" s="49"/>
      <c r="H14" s="49">
        <v>0</v>
      </c>
    </row>
    <row r="15" spans="1:10" x14ac:dyDescent="0.2">
      <c r="A15" s="71">
        <v>9</v>
      </c>
      <c r="B15" s="67" t="s">
        <v>138</v>
      </c>
      <c r="C15" s="61" t="s">
        <v>159</v>
      </c>
      <c r="D15" s="44" t="s">
        <v>122</v>
      </c>
      <c r="E15" s="35" t="s">
        <v>67</v>
      </c>
      <c r="F15" s="36" t="s">
        <v>98</v>
      </c>
      <c r="G15" s="36"/>
      <c r="H15" s="36" t="s">
        <v>112</v>
      </c>
    </row>
    <row r="16" spans="1:10" x14ac:dyDescent="0.2">
      <c r="A16" s="56">
        <v>10</v>
      </c>
      <c r="B16" s="67" t="s">
        <v>139</v>
      </c>
      <c r="C16" s="62" t="s">
        <v>160</v>
      </c>
      <c r="D16" s="44" t="s">
        <v>122</v>
      </c>
      <c r="E16" s="36" t="s">
        <v>73</v>
      </c>
      <c r="F16" s="36" t="s">
        <v>98</v>
      </c>
      <c r="G16" s="36"/>
      <c r="H16" s="36" t="s">
        <v>113</v>
      </c>
    </row>
    <row r="17" spans="1:9" ht="17" thickBot="1" x14ac:dyDescent="0.25">
      <c r="A17" s="56">
        <v>11</v>
      </c>
      <c r="B17" s="69" t="s">
        <v>140</v>
      </c>
      <c r="C17" s="63" t="s">
        <v>161</v>
      </c>
      <c r="D17" s="44" t="s">
        <v>122</v>
      </c>
      <c r="E17" s="36" t="s">
        <v>80</v>
      </c>
      <c r="F17" s="36" t="s">
        <v>98</v>
      </c>
      <c r="G17" s="35"/>
      <c r="H17" s="35" t="s">
        <v>132</v>
      </c>
    </row>
    <row r="18" spans="1:9" ht="17" thickBot="1" x14ac:dyDescent="0.25">
      <c r="A18" s="56">
        <v>12</v>
      </c>
      <c r="B18" s="36" t="s">
        <v>99</v>
      </c>
      <c r="C18" s="64" t="s">
        <v>99</v>
      </c>
      <c r="D18" s="36" t="s">
        <v>122</v>
      </c>
      <c r="E18" s="36" t="s">
        <v>184</v>
      </c>
      <c r="F18" s="36" t="s">
        <v>185</v>
      </c>
      <c r="G18" s="36"/>
      <c r="H18" s="36" t="s">
        <v>110</v>
      </c>
    </row>
    <row r="19" spans="1:9" x14ac:dyDescent="0.2">
      <c r="A19" s="56">
        <v>13</v>
      </c>
      <c r="B19" s="67" t="s">
        <v>141</v>
      </c>
      <c r="C19" s="61" t="s">
        <v>162</v>
      </c>
      <c r="D19" s="44" t="s">
        <v>122</v>
      </c>
      <c r="E19" s="36" t="s">
        <v>52</v>
      </c>
      <c r="F19" s="36" t="s">
        <v>88</v>
      </c>
      <c r="G19" s="36"/>
      <c r="H19" s="36" t="s">
        <v>114</v>
      </c>
    </row>
    <row r="20" spans="1:9" x14ac:dyDescent="0.2">
      <c r="A20" s="56">
        <v>14</v>
      </c>
      <c r="B20" s="67" t="s">
        <v>142</v>
      </c>
      <c r="C20" s="62" t="s">
        <v>163</v>
      </c>
      <c r="D20" s="44" t="s">
        <v>122</v>
      </c>
      <c r="E20" s="36" t="s">
        <v>59</v>
      </c>
      <c r="F20" s="36" t="s">
        <v>88</v>
      </c>
      <c r="G20" s="36"/>
      <c r="H20" s="36" t="s">
        <v>134</v>
      </c>
    </row>
    <row r="21" spans="1:9" ht="17" thickBot="1" x14ac:dyDescent="0.25">
      <c r="A21" s="56">
        <v>15</v>
      </c>
      <c r="B21" s="67" t="s">
        <v>181</v>
      </c>
      <c r="C21" s="63" t="s">
        <v>183</v>
      </c>
      <c r="D21" s="44" t="s">
        <v>122</v>
      </c>
      <c r="E21" s="36" t="s">
        <v>66</v>
      </c>
      <c r="F21" s="36" t="s">
        <v>88</v>
      </c>
      <c r="G21" s="36"/>
      <c r="H21" s="36" t="s">
        <v>182</v>
      </c>
    </row>
    <row r="22" spans="1:9" ht="17" thickBot="1" x14ac:dyDescent="0.25">
      <c r="A22" s="56">
        <v>16</v>
      </c>
      <c r="B22" s="35" t="s">
        <v>126</v>
      </c>
      <c r="C22" s="64" t="s">
        <v>126</v>
      </c>
      <c r="D22" s="36" t="s">
        <v>122</v>
      </c>
      <c r="E22" s="36" t="s">
        <v>188</v>
      </c>
      <c r="F22" s="51" t="s">
        <v>93</v>
      </c>
      <c r="G22" s="35" t="s">
        <v>194</v>
      </c>
      <c r="H22" s="35" t="s">
        <v>112</v>
      </c>
    </row>
    <row r="23" spans="1:9" x14ac:dyDescent="0.2">
      <c r="A23" s="56">
        <v>17</v>
      </c>
      <c r="B23" s="68" t="s">
        <v>143</v>
      </c>
      <c r="C23" s="66" t="s">
        <v>164</v>
      </c>
      <c r="D23" s="54" t="s">
        <v>172</v>
      </c>
      <c r="E23" s="39" t="s">
        <v>69</v>
      </c>
      <c r="F23" s="39" t="s">
        <v>93</v>
      </c>
      <c r="G23" s="39" t="s">
        <v>130</v>
      </c>
      <c r="H23" s="39" t="s">
        <v>115</v>
      </c>
    </row>
    <row r="24" spans="1:9" x14ac:dyDescent="0.2">
      <c r="A24" s="56">
        <v>18</v>
      </c>
      <c r="B24" s="69" t="s">
        <v>144</v>
      </c>
      <c r="C24" s="62" t="s">
        <v>165</v>
      </c>
      <c r="D24" s="44" t="s">
        <v>122</v>
      </c>
      <c r="E24" s="35" t="s">
        <v>75</v>
      </c>
      <c r="F24" s="36" t="s">
        <v>93</v>
      </c>
      <c r="G24" s="36" t="s">
        <v>131</v>
      </c>
      <c r="H24" s="35" t="s">
        <v>166</v>
      </c>
    </row>
    <row r="25" spans="1:9" ht="17" thickBot="1" x14ac:dyDescent="0.25">
      <c r="A25" s="56">
        <v>19</v>
      </c>
      <c r="B25" s="69" t="s">
        <v>187</v>
      </c>
      <c r="C25" s="63" t="s">
        <v>186</v>
      </c>
      <c r="D25" s="44" t="s">
        <v>122</v>
      </c>
      <c r="E25" s="35" t="s">
        <v>82</v>
      </c>
      <c r="F25" s="36" t="s">
        <v>93</v>
      </c>
      <c r="G25" s="36" t="s">
        <v>173</v>
      </c>
      <c r="H25" s="35" t="s">
        <v>189</v>
      </c>
    </row>
    <row r="26" spans="1:9" x14ac:dyDescent="0.2">
      <c r="A26" s="56">
        <v>20</v>
      </c>
      <c r="B26" s="49" t="s">
        <v>127</v>
      </c>
      <c r="C26" s="65" t="s">
        <v>127</v>
      </c>
      <c r="D26" s="49" t="s">
        <v>172</v>
      </c>
      <c r="E26" s="49" t="s">
        <v>54</v>
      </c>
      <c r="F26" s="50">
        <v>-1</v>
      </c>
      <c r="G26" s="49" t="s">
        <v>102</v>
      </c>
      <c r="H26" s="49" t="s">
        <v>114</v>
      </c>
      <c r="I26" s="38" t="s">
        <v>170</v>
      </c>
    </row>
    <row r="27" spans="1:9" x14ac:dyDescent="0.2">
      <c r="A27" s="56">
        <v>21</v>
      </c>
      <c r="B27" s="49" t="s">
        <v>128</v>
      </c>
      <c r="C27" s="49" t="s">
        <v>128</v>
      </c>
      <c r="D27" s="49" t="s">
        <v>172</v>
      </c>
      <c r="E27" s="49" t="s">
        <v>71</v>
      </c>
      <c r="F27" s="50">
        <v>1</v>
      </c>
      <c r="G27" s="49"/>
      <c r="H27" s="49" t="s">
        <v>115</v>
      </c>
      <c r="I27" s="42" t="s">
        <v>171</v>
      </c>
    </row>
    <row r="28" spans="1:9" x14ac:dyDescent="0.2">
      <c r="A28" s="56">
        <v>22</v>
      </c>
      <c r="B28" s="36" t="s">
        <v>168</v>
      </c>
      <c r="C28" s="36" t="s">
        <v>168</v>
      </c>
      <c r="D28" s="36" t="s">
        <v>122</v>
      </c>
      <c r="E28" s="36" t="s">
        <v>61</v>
      </c>
      <c r="F28" s="36">
        <v>-1</v>
      </c>
      <c r="G28" s="36"/>
      <c r="H28" s="36" t="s">
        <v>205</v>
      </c>
    </row>
    <row r="29" spans="1:9" x14ac:dyDescent="0.2">
      <c r="A29" s="56">
        <v>23</v>
      </c>
      <c r="B29" s="36" t="s">
        <v>169</v>
      </c>
      <c r="C29" s="36" t="s">
        <v>169</v>
      </c>
      <c r="D29" s="36" t="s">
        <v>122</v>
      </c>
      <c r="E29" s="36" t="s">
        <v>192</v>
      </c>
      <c r="F29" s="36">
        <v>1</v>
      </c>
      <c r="G29" s="36"/>
      <c r="H29" s="36" t="s">
        <v>206</v>
      </c>
    </row>
    <row r="30" spans="1:9" x14ac:dyDescent="0.2">
      <c r="A30" s="56">
        <v>24</v>
      </c>
      <c r="B30" s="36" t="s">
        <v>190</v>
      </c>
      <c r="C30" s="36" t="s">
        <v>190</v>
      </c>
      <c r="D30" s="36" t="s">
        <v>122</v>
      </c>
      <c r="E30" s="36" t="s">
        <v>167</v>
      </c>
      <c r="F30" s="36">
        <v>-1</v>
      </c>
      <c r="G30" s="36"/>
      <c r="H30" s="36" t="s">
        <v>207</v>
      </c>
    </row>
    <row r="31" spans="1:9" x14ac:dyDescent="0.2">
      <c r="A31" s="56">
        <v>25</v>
      </c>
      <c r="B31" s="36" t="s">
        <v>191</v>
      </c>
      <c r="C31" s="36" t="s">
        <v>191</v>
      </c>
      <c r="D31" s="36" t="s">
        <v>122</v>
      </c>
      <c r="E31" s="36" t="s">
        <v>193</v>
      </c>
      <c r="F31" s="36">
        <v>1</v>
      </c>
      <c r="G31" s="36"/>
      <c r="H31" s="36" t="s">
        <v>208</v>
      </c>
    </row>
    <row r="32" spans="1:9" x14ac:dyDescent="0.2">
      <c r="A32" s="56">
        <v>26</v>
      </c>
      <c r="B32" s="33" t="s">
        <v>127</v>
      </c>
      <c r="C32" s="33" t="s">
        <v>127</v>
      </c>
      <c r="D32" s="33" t="s">
        <v>172</v>
      </c>
      <c r="E32" s="33" t="s">
        <v>196</v>
      </c>
      <c r="F32" s="77" t="s">
        <v>220</v>
      </c>
      <c r="G32" s="33" t="s">
        <v>102</v>
      </c>
      <c r="H32" s="33" t="s">
        <v>114</v>
      </c>
      <c r="I32" s="52" t="s">
        <v>197</v>
      </c>
    </row>
    <row r="33" spans="1:9" x14ac:dyDescent="0.2">
      <c r="A33" s="56">
        <v>27</v>
      </c>
      <c r="B33" s="33" t="s">
        <v>128</v>
      </c>
      <c r="C33" s="33" t="s">
        <v>128</v>
      </c>
      <c r="D33" s="33" t="s">
        <v>172</v>
      </c>
      <c r="E33" s="33" t="s">
        <v>195</v>
      </c>
      <c r="F33" s="77" t="s">
        <v>221</v>
      </c>
      <c r="G33" s="33"/>
      <c r="H33" s="33" t="s">
        <v>115</v>
      </c>
      <c r="I33" s="52" t="s">
        <v>198</v>
      </c>
    </row>
    <row r="34" spans="1:9" x14ac:dyDescent="0.2">
      <c r="A34" s="56">
        <v>28</v>
      </c>
      <c r="B34" s="32" t="s">
        <v>210</v>
      </c>
      <c r="C34" s="32" t="s">
        <v>214</v>
      </c>
      <c r="D34" s="36" t="s">
        <v>122</v>
      </c>
      <c r="E34" s="32" t="s">
        <v>200</v>
      </c>
      <c r="F34" s="32">
        <v>-1</v>
      </c>
      <c r="G34" s="32"/>
      <c r="H34" s="32" t="s">
        <v>218</v>
      </c>
    </row>
    <row r="35" spans="1:9" x14ac:dyDescent="0.2">
      <c r="A35" s="56">
        <v>29</v>
      </c>
      <c r="B35" s="32" t="s">
        <v>211</v>
      </c>
      <c r="C35" s="32" t="s">
        <v>216</v>
      </c>
      <c r="D35" s="36" t="s">
        <v>122</v>
      </c>
      <c r="E35" s="32" t="s">
        <v>201</v>
      </c>
      <c r="F35" s="32">
        <v>0</v>
      </c>
      <c r="G35" s="32"/>
      <c r="H35" s="32" t="s">
        <v>219</v>
      </c>
    </row>
    <row r="36" spans="1:9" x14ac:dyDescent="0.2">
      <c r="A36" s="56">
        <v>30</v>
      </c>
      <c r="B36" s="32" t="s">
        <v>212</v>
      </c>
      <c r="C36" s="32" t="s">
        <v>215</v>
      </c>
      <c r="D36" s="36" t="s">
        <v>122</v>
      </c>
      <c r="E36" s="32" t="s">
        <v>202</v>
      </c>
      <c r="F36" s="32">
        <v>0</v>
      </c>
      <c r="G36" s="32"/>
      <c r="H36" s="32" t="s">
        <v>117</v>
      </c>
    </row>
    <row r="37" spans="1:9" x14ac:dyDescent="0.2">
      <c r="A37" s="56">
        <v>31</v>
      </c>
      <c r="B37" s="32" t="s">
        <v>213</v>
      </c>
      <c r="C37" s="32" t="s">
        <v>217</v>
      </c>
      <c r="D37" s="36" t="s">
        <v>122</v>
      </c>
      <c r="E37" s="32" t="s">
        <v>203</v>
      </c>
      <c r="F37" s="32">
        <v>1</v>
      </c>
      <c r="G37" s="32"/>
      <c r="H37" s="32" t="s">
        <v>166</v>
      </c>
    </row>
    <row r="38" spans="1:9" x14ac:dyDescent="0.2">
      <c r="A38" s="55"/>
      <c r="B38" s="48" t="s">
        <v>199</v>
      </c>
      <c r="C38" s="39" t="s">
        <v>199</v>
      </c>
      <c r="D38" s="39" t="s">
        <v>172</v>
      </c>
      <c r="E38" s="39" t="s">
        <v>179</v>
      </c>
      <c r="F38" s="39">
        <v>0</v>
      </c>
      <c r="G38" s="39">
        <v>0</v>
      </c>
      <c r="H38" s="37"/>
      <c r="I38" t="s">
        <v>180</v>
      </c>
    </row>
    <row r="39" spans="1:9" x14ac:dyDescent="0.2">
      <c r="A39" s="57"/>
      <c r="B39" s="43"/>
      <c r="C39" s="58"/>
      <c r="D39" s="59"/>
      <c r="E39" s="59"/>
      <c r="F39" s="59"/>
      <c r="G39" s="59"/>
      <c r="H39" s="58"/>
    </row>
    <row r="40" spans="1:9" x14ac:dyDescent="0.2">
      <c r="B40" t="s">
        <v>118</v>
      </c>
    </row>
    <row r="42" spans="1:9" x14ac:dyDescent="0.2">
      <c r="B42" t="s">
        <v>124</v>
      </c>
    </row>
    <row r="43" spans="1:9" x14ac:dyDescent="0.2">
      <c r="I43">
        <f>FACT(8)</f>
        <v>40320</v>
      </c>
    </row>
    <row r="44" spans="1:9" x14ac:dyDescent="0.2">
      <c r="B44" s="30" t="s">
        <v>125</v>
      </c>
      <c r="C44" s="30"/>
      <c r="D44" s="30"/>
    </row>
    <row r="46" spans="1:9" x14ac:dyDescent="0.2">
      <c r="B46" t="s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B1360-9014-6D47-8E9D-B8C193D75A74}">
  <dimension ref="A1:L32"/>
  <sheetViews>
    <sheetView zoomScale="140" zoomScaleNormal="140" workbookViewId="0">
      <selection activeCell="E39" sqref="E39"/>
    </sheetView>
  </sheetViews>
  <sheetFormatPr baseColWidth="10" defaultRowHeight="19" x14ac:dyDescent="0.25"/>
  <cols>
    <col min="1" max="1" width="54" style="83" bestFit="1" customWidth="1"/>
    <col min="2" max="2" width="10.83203125" style="83"/>
    <col min="3" max="3" width="14.5" style="83" bestFit="1" customWidth="1"/>
    <col min="4" max="7" width="10.83203125" style="83"/>
    <col min="8" max="8" width="4.5" style="83" customWidth="1"/>
    <col min="9" max="9" width="10.83203125" style="83"/>
    <col min="10" max="10" width="18.6640625" style="83" customWidth="1"/>
    <col min="11" max="11" width="18.6640625" style="83" bestFit="1" customWidth="1"/>
    <col min="12" max="16384" width="10.83203125" style="83"/>
  </cols>
  <sheetData>
    <row r="1" spans="1:12" x14ac:dyDescent="0.25">
      <c r="L1" s="83" t="s">
        <v>270</v>
      </c>
    </row>
    <row r="2" spans="1:12" x14ac:dyDescent="0.25">
      <c r="L2" s="83" t="s">
        <v>269</v>
      </c>
    </row>
    <row r="3" spans="1:12" x14ac:dyDescent="0.25">
      <c r="B3" s="95" t="s">
        <v>243</v>
      </c>
      <c r="C3" s="95" t="s">
        <v>245</v>
      </c>
      <c r="D3" s="95" t="s">
        <v>32</v>
      </c>
      <c r="E3" s="95" t="s">
        <v>30</v>
      </c>
      <c r="F3" s="95" t="s">
        <v>263</v>
      </c>
      <c r="G3" s="95" t="s">
        <v>264</v>
      </c>
      <c r="H3" s="96" t="s">
        <v>265</v>
      </c>
      <c r="I3" s="95" t="s">
        <v>277</v>
      </c>
      <c r="J3" s="83" t="s">
        <v>288</v>
      </c>
      <c r="K3" s="83" t="s">
        <v>40</v>
      </c>
      <c r="L3" s="83" t="s">
        <v>271</v>
      </c>
    </row>
    <row r="4" spans="1:12" x14ac:dyDescent="0.25">
      <c r="A4" s="92" t="s">
        <v>306</v>
      </c>
      <c r="B4" s="134" t="s">
        <v>306</v>
      </c>
      <c r="C4" s="135"/>
      <c r="D4" s="135"/>
      <c r="E4" s="135"/>
      <c r="F4" s="135"/>
      <c r="G4" s="135"/>
      <c r="H4" s="135"/>
      <c r="I4" s="136"/>
      <c r="L4" s="83" t="s">
        <v>285</v>
      </c>
    </row>
    <row r="5" spans="1:12" x14ac:dyDescent="0.25">
      <c r="A5" s="83" t="s">
        <v>224</v>
      </c>
      <c r="B5" s="97" t="s">
        <v>244</v>
      </c>
      <c r="C5" s="97" t="s">
        <v>246</v>
      </c>
      <c r="D5" s="97">
        <v>3</v>
      </c>
      <c r="E5" s="97">
        <v>0</v>
      </c>
      <c r="F5" s="98">
        <f>D5/(D5+E5)</f>
        <v>1</v>
      </c>
      <c r="G5" s="98">
        <f>E5/(D5+E5)</f>
        <v>0</v>
      </c>
      <c r="H5" s="99">
        <f>F5+G5</f>
        <v>1</v>
      </c>
      <c r="I5" s="100" t="s">
        <v>278</v>
      </c>
      <c r="J5" s="84"/>
      <c r="K5" s="84">
        <v>511000</v>
      </c>
    </row>
    <row r="6" spans="1:12" x14ac:dyDescent="0.25">
      <c r="A6" s="94" t="s">
        <v>225</v>
      </c>
      <c r="B6" s="101" t="s">
        <v>307</v>
      </c>
      <c r="C6" s="101" t="s">
        <v>247</v>
      </c>
      <c r="D6" s="101">
        <v>2</v>
      </c>
      <c r="E6" s="101">
        <v>0</v>
      </c>
      <c r="F6" s="102">
        <f t="shared" ref="F6:F23" si="0">D6/(D6+E6)</f>
        <v>1</v>
      </c>
      <c r="G6" s="102">
        <f t="shared" ref="G6:G23" si="1">E6/(D6+E6)</f>
        <v>0</v>
      </c>
      <c r="H6" s="103">
        <f t="shared" ref="H6:H23" si="2">F6+G6</f>
        <v>1</v>
      </c>
      <c r="I6" s="104" t="s">
        <v>279</v>
      </c>
      <c r="J6" s="85"/>
      <c r="K6" s="85" t="s">
        <v>29</v>
      </c>
    </row>
    <row r="7" spans="1:12" x14ac:dyDescent="0.25">
      <c r="A7" s="83" t="s">
        <v>226</v>
      </c>
      <c r="B7" s="97" t="s">
        <v>32</v>
      </c>
      <c r="C7" s="97" t="s">
        <v>248</v>
      </c>
      <c r="D7" s="97">
        <v>1</v>
      </c>
      <c r="E7" s="97">
        <v>0</v>
      </c>
      <c r="F7" s="98">
        <f t="shared" si="0"/>
        <v>1</v>
      </c>
      <c r="G7" s="98">
        <f t="shared" si="1"/>
        <v>0</v>
      </c>
      <c r="H7" s="99">
        <f t="shared" si="2"/>
        <v>1</v>
      </c>
      <c r="I7" s="100" t="s">
        <v>223</v>
      </c>
      <c r="J7" s="85"/>
      <c r="K7" s="85" t="s">
        <v>32</v>
      </c>
    </row>
    <row r="8" spans="1:12" x14ac:dyDescent="0.25">
      <c r="A8" s="83" t="s">
        <v>227</v>
      </c>
      <c r="B8" s="97" t="s">
        <v>272</v>
      </c>
      <c r="C8" s="97" t="s">
        <v>249</v>
      </c>
      <c r="D8" s="97">
        <v>4</v>
      </c>
      <c r="E8" s="97">
        <v>1</v>
      </c>
      <c r="F8" s="98">
        <f t="shared" si="0"/>
        <v>0.8</v>
      </c>
      <c r="G8" s="98">
        <f t="shared" si="1"/>
        <v>0.2</v>
      </c>
      <c r="H8" s="99">
        <f t="shared" si="2"/>
        <v>1</v>
      </c>
      <c r="I8" s="100" t="s">
        <v>279</v>
      </c>
      <c r="J8" s="84" t="s">
        <v>289</v>
      </c>
      <c r="K8" s="84">
        <v>80390000000</v>
      </c>
      <c r="L8" s="83" t="s">
        <v>268</v>
      </c>
    </row>
    <row r="9" spans="1:12" x14ac:dyDescent="0.25">
      <c r="A9" s="83" t="s">
        <v>228</v>
      </c>
      <c r="B9" s="97" t="s">
        <v>303</v>
      </c>
      <c r="C9" s="97" t="s">
        <v>250</v>
      </c>
      <c r="D9" s="97">
        <v>3</v>
      </c>
      <c r="E9" s="97">
        <v>1</v>
      </c>
      <c r="F9" s="98">
        <f t="shared" si="0"/>
        <v>0.75</v>
      </c>
      <c r="G9" s="98">
        <f t="shared" si="1"/>
        <v>0.25</v>
      </c>
      <c r="H9" s="99">
        <f t="shared" si="2"/>
        <v>1</v>
      </c>
      <c r="I9" s="100" t="s">
        <v>279</v>
      </c>
      <c r="J9" s="85"/>
      <c r="K9" s="85" t="s">
        <v>276</v>
      </c>
    </row>
    <row r="10" spans="1:12" x14ac:dyDescent="0.25">
      <c r="A10" s="94" t="s">
        <v>229</v>
      </c>
      <c r="B10" s="101" t="s">
        <v>308</v>
      </c>
      <c r="C10" s="101" t="s">
        <v>251</v>
      </c>
      <c r="D10" s="101">
        <v>2</v>
      </c>
      <c r="E10" s="101">
        <v>1</v>
      </c>
      <c r="F10" s="102">
        <f t="shared" si="0"/>
        <v>0.66666666666666663</v>
      </c>
      <c r="G10" s="102">
        <f t="shared" si="1"/>
        <v>0.33333333333333331</v>
      </c>
      <c r="H10" s="103">
        <f t="shared" si="2"/>
        <v>1</v>
      </c>
      <c r="I10" s="104" t="s">
        <v>223</v>
      </c>
      <c r="J10" s="85"/>
      <c r="K10" s="85" t="s">
        <v>31</v>
      </c>
    </row>
    <row r="11" spans="1:12" x14ac:dyDescent="0.25">
      <c r="A11" s="83" t="s">
        <v>230</v>
      </c>
      <c r="B11" s="97" t="s">
        <v>31</v>
      </c>
      <c r="C11" s="97" t="s">
        <v>252</v>
      </c>
      <c r="D11" s="97">
        <v>3</v>
      </c>
      <c r="E11" s="97">
        <v>2</v>
      </c>
      <c r="F11" s="98">
        <f t="shared" si="0"/>
        <v>0.6</v>
      </c>
      <c r="G11" s="98">
        <f t="shared" si="1"/>
        <v>0.4</v>
      </c>
      <c r="H11" s="99">
        <f t="shared" si="2"/>
        <v>1</v>
      </c>
      <c r="I11" s="100" t="s">
        <v>223</v>
      </c>
      <c r="J11" s="84"/>
      <c r="K11" s="84">
        <v>4700000</v>
      </c>
    </row>
    <row r="12" spans="1:12" x14ac:dyDescent="0.25">
      <c r="A12" s="93" t="s">
        <v>231</v>
      </c>
      <c r="B12" s="105" t="s">
        <v>37</v>
      </c>
      <c r="C12" s="105" t="s">
        <v>253</v>
      </c>
      <c r="D12" s="105">
        <v>1</v>
      </c>
      <c r="E12" s="105">
        <v>1</v>
      </c>
      <c r="F12" s="106">
        <f t="shared" si="0"/>
        <v>0.5</v>
      </c>
      <c r="G12" s="106">
        <f t="shared" si="1"/>
        <v>0.5</v>
      </c>
      <c r="H12" s="107">
        <f t="shared" si="2"/>
        <v>1</v>
      </c>
      <c r="I12" s="108" t="s">
        <v>280</v>
      </c>
      <c r="J12" s="85"/>
      <c r="K12" s="85">
        <v>2.2000000000000002</v>
      </c>
    </row>
    <row r="13" spans="1:12" x14ac:dyDescent="0.25">
      <c r="A13" s="83" t="s">
        <v>232</v>
      </c>
      <c r="B13" s="97" t="s">
        <v>154</v>
      </c>
      <c r="C13" s="97" t="s">
        <v>254</v>
      </c>
      <c r="D13" s="97">
        <v>2</v>
      </c>
      <c r="E13" s="97">
        <v>2</v>
      </c>
      <c r="F13" s="98">
        <f t="shared" si="0"/>
        <v>0.5</v>
      </c>
      <c r="G13" s="98">
        <f t="shared" si="1"/>
        <v>0.5</v>
      </c>
      <c r="H13" s="99">
        <f t="shared" si="2"/>
        <v>1</v>
      </c>
      <c r="I13" s="100" t="s">
        <v>280</v>
      </c>
      <c r="J13" s="84"/>
      <c r="K13" s="84">
        <v>91190000000</v>
      </c>
      <c r="L13" s="83" t="s">
        <v>268</v>
      </c>
    </row>
    <row r="14" spans="1:12" x14ac:dyDescent="0.25">
      <c r="A14" s="90" t="s">
        <v>233</v>
      </c>
      <c r="B14" s="109" t="s">
        <v>304</v>
      </c>
      <c r="C14" s="109" t="s">
        <v>255</v>
      </c>
      <c r="D14" s="109">
        <v>3</v>
      </c>
      <c r="E14" s="109">
        <v>3</v>
      </c>
      <c r="F14" s="110">
        <f t="shared" si="0"/>
        <v>0.5</v>
      </c>
      <c r="G14" s="110">
        <f t="shared" si="1"/>
        <v>0.5</v>
      </c>
      <c r="H14" s="111">
        <f t="shared" si="2"/>
        <v>1</v>
      </c>
      <c r="I14" s="112" t="s">
        <v>280</v>
      </c>
      <c r="J14" s="91"/>
      <c r="K14" s="91">
        <v>125090000000</v>
      </c>
    </row>
    <row r="15" spans="1:12" x14ac:dyDescent="0.25">
      <c r="A15" s="83" t="s">
        <v>234</v>
      </c>
      <c r="B15" s="97" t="s">
        <v>154</v>
      </c>
      <c r="C15" s="97" t="s">
        <v>254</v>
      </c>
      <c r="D15" s="97">
        <v>2</v>
      </c>
      <c r="E15" s="97">
        <v>2</v>
      </c>
      <c r="F15" s="98">
        <f t="shared" si="0"/>
        <v>0.5</v>
      </c>
      <c r="G15" s="98">
        <f t="shared" si="1"/>
        <v>0.5</v>
      </c>
      <c r="H15" s="99">
        <f t="shared" si="2"/>
        <v>1</v>
      </c>
      <c r="I15" s="100" t="s">
        <v>280</v>
      </c>
      <c r="J15" s="84"/>
      <c r="K15" s="84">
        <v>91190000000</v>
      </c>
      <c r="L15" s="83" t="s">
        <v>268</v>
      </c>
    </row>
    <row r="16" spans="1:12" x14ac:dyDescent="0.25">
      <c r="A16" s="93" t="s">
        <v>235</v>
      </c>
      <c r="B16" s="105" t="s">
        <v>37</v>
      </c>
      <c r="C16" s="105" t="s">
        <v>253</v>
      </c>
      <c r="D16" s="105">
        <v>1</v>
      </c>
      <c r="E16" s="105">
        <v>1</v>
      </c>
      <c r="F16" s="106">
        <f t="shared" si="0"/>
        <v>0.5</v>
      </c>
      <c r="G16" s="106">
        <f t="shared" si="1"/>
        <v>0.5</v>
      </c>
      <c r="H16" s="107">
        <f t="shared" si="2"/>
        <v>1</v>
      </c>
      <c r="I16" s="108" t="s">
        <v>280</v>
      </c>
      <c r="J16" s="85"/>
      <c r="K16" s="85">
        <v>2.2000000000000002</v>
      </c>
      <c r="L16" s="83" t="s">
        <v>41</v>
      </c>
    </row>
    <row r="17" spans="1:12" x14ac:dyDescent="0.25">
      <c r="A17" s="83" t="s">
        <v>236</v>
      </c>
      <c r="B17" s="97" t="s">
        <v>302</v>
      </c>
      <c r="C17" s="97" t="s">
        <v>256</v>
      </c>
      <c r="D17" s="97">
        <v>2</v>
      </c>
      <c r="E17" s="97">
        <v>3</v>
      </c>
      <c r="F17" s="98">
        <f t="shared" si="0"/>
        <v>0.4</v>
      </c>
      <c r="G17" s="98">
        <f t="shared" si="1"/>
        <v>0.6</v>
      </c>
      <c r="H17" s="99">
        <f t="shared" si="2"/>
        <v>1</v>
      </c>
      <c r="I17" s="100" t="s">
        <v>281</v>
      </c>
      <c r="J17" s="85"/>
      <c r="K17" s="85" t="s">
        <v>275</v>
      </c>
    </row>
    <row r="18" spans="1:12" x14ac:dyDescent="0.25">
      <c r="A18" s="94" t="s">
        <v>237</v>
      </c>
      <c r="B18" s="101" t="s">
        <v>309</v>
      </c>
      <c r="C18" s="101" t="s">
        <v>257</v>
      </c>
      <c r="D18" s="101">
        <v>1</v>
      </c>
      <c r="E18" s="101">
        <v>2</v>
      </c>
      <c r="F18" s="102">
        <f t="shared" si="0"/>
        <v>0.33333333333333331</v>
      </c>
      <c r="G18" s="102">
        <f t="shared" si="1"/>
        <v>0.66666666666666663</v>
      </c>
      <c r="H18" s="103">
        <f t="shared" si="2"/>
        <v>1</v>
      </c>
      <c r="I18" s="104" t="s">
        <v>281</v>
      </c>
      <c r="J18" s="85"/>
      <c r="K18" s="85" t="s">
        <v>274</v>
      </c>
    </row>
    <row r="19" spans="1:12" x14ac:dyDescent="0.25">
      <c r="A19" s="83" t="s">
        <v>238</v>
      </c>
      <c r="B19" s="97" t="s">
        <v>28</v>
      </c>
      <c r="C19" s="97" t="s">
        <v>258</v>
      </c>
      <c r="D19" s="97">
        <v>1</v>
      </c>
      <c r="E19" s="97">
        <v>3</v>
      </c>
      <c r="F19" s="98">
        <f t="shared" si="0"/>
        <v>0.25</v>
      </c>
      <c r="G19" s="98">
        <f t="shared" si="1"/>
        <v>0.75</v>
      </c>
      <c r="H19" s="99">
        <f t="shared" si="2"/>
        <v>1</v>
      </c>
      <c r="I19" s="100" t="s">
        <v>282</v>
      </c>
      <c r="J19" s="84"/>
      <c r="K19" s="84">
        <v>2200000</v>
      </c>
    </row>
    <row r="20" spans="1:12" x14ac:dyDescent="0.25">
      <c r="A20" s="83" t="s">
        <v>239</v>
      </c>
      <c r="B20" s="97" t="s">
        <v>153</v>
      </c>
      <c r="C20" s="97" t="s">
        <v>259</v>
      </c>
      <c r="D20" s="97">
        <v>1</v>
      </c>
      <c r="E20" s="97">
        <v>4</v>
      </c>
      <c r="F20" s="98">
        <f t="shared" si="0"/>
        <v>0.2</v>
      </c>
      <c r="G20" s="98">
        <f t="shared" si="1"/>
        <v>0.8</v>
      </c>
      <c r="H20" s="99">
        <f t="shared" si="2"/>
        <v>1</v>
      </c>
      <c r="I20" s="100" t="s">
        <v>283</v>
      </c>
      <c r="J20" s="84" t="s">
        <v>290</v>
      </c>
      <c r="K20" s="84">
        <v>80390000000</v>
      </c>
      <c r="L20" s="83" t="s">
        <v>268</v>
      </c>
    </row>
    <row r="21" spans="1:12" x14ac:dyDescent="0.25">
      <c r="A21" s="83" t="s">
        <v>240</v>
      </c>
      <c r="B21" s="97" t="s">
        <v>30</v>
      </c>
      <c r="C21" s="97" t="s">
        <v>260</v>
      </c>
      <c r="D21" s="97">
        <v>0</v>
      </c>
      <c r="E21" s="97">
        <v>1</v>
      </c>
      <c r="F21" s="98">
        <f t="shared" si="0"/>
        <v>0</v>
      </c>
      <c r="G21" s="98">
        <f t="shared" si="1"/>
        <v>1</v>
      </c>
      <c r="H21" s="99">
        <f t="shared" si="2"/>
        <v>1</v>
      </c>
      <c r="I21" s="100" t="s">
        <v>281</v>
      </c>
      <c r="J21" s="85"/>
      <c r="K21" s="85" t="s">
        <v>30</v>
      </c>
    </row>
    <row r="22" spans="1:12" x14ac:dyDescent="0.25">
      <c r="A22" s="94" t="s">
        <v>241</v>
      </c>
      <c r="B22" s="101" t="s">
        <v>310</v>
      </c>
      <c r="C22" s="101" t="s">
        <v>261</v>
      </c>
      <c r="D22" s="101">
        <v>0</v>
      </c>
      <c r="E22" s="101">
        <v>2</v>
      </c>
      <c r="F22" s="102">
        <f t="shared" si="0"/>
        <v>0</v>
      </c>
      <c r="G22" s="102">
        <f t="shared" si="1"/>
        <v>1</v>
      </c>
      <c r="H22" s="103">
        <f t="shared" si="2"/>
        <v>1</v>
      </c>
      <c r="I22" s="104" t="s">
        <v>282</v>
      </c>
      <c r="J22" s="85"/>
      <c r="K22" s="85" t="s">
        <v>33</v>
      </c>
    </row>
    <row r="23" spans="1:12" x14ac:dyDescent="0.25">
      <c r="A23" s="83" t="s">
        <v>242</v>
      </c>
      <c r="B23" s="97" t="s">
        <v>273</v>
      </c>
      <c r="C23" s="97" t="s">
        <v>262</v>
      </c>
      <c r="D23" s="97">
        <v>0</v>
      </c>
      <c r="E23" s="97">
        <v>3</v>
      </c>
      <c r="F23" s="98">
        <f t="shared" si="0"/>
        <v>0</v>
      </c>
      <c r="G23" s="98">
        <f t="shared" si="1"/>
        <v>1</v>
      </c>
      <c r="H23" s="99">
        <f t="shared" si="2"/>
        <v>1</v>
      </c>
      <c r="I23" s="100" t="s">
        <v>283</v>
      </c>
      <c r="J23" s="85"/>
      <c r="K23" s="85" t="s">
        <v>273</v>
      </c>
    </row>
    <row r="24" spans="1:12" x14ac:dyDescent="0.25">
      <c r="A24" s="92" t="s">
        <v>305</v>
      </c>
      <c r="B24" s="134" t="s">
        <v>305</v>
      </c>
      <c r="C24" s="135"/>
      <c r="D24" s="135"/>
      <c r="E24" s="135"/>
      <c r="F24" s="135"/>
      <c r="G24" s="135"/>
      <c r="H24" s="135"/>
      <c r="I24" s="136"/>
    </row>
    <row r="25" spans="1:12" x14ac:dyDescent="0.25">
      <c r="A25" s="92"/>
      <c r="B25" s="113"/>
      <c r="C25" s="113"/>
      <c r="D25" s="113"/>
      <c r="E25" s="113"/>
      <c r="F25" s="113"/>
      <c r="G25" s="113"/>
      <c r="H25" s="113"/>
      <c r="I25" s="113"/>
    </row>
    <row r="26" spans="1:12" x14ac:dyDescent="0.25">
      <c r="A26" s="114" t="s">
        <v>311</v>
      </c>
      <c r="B26" s="115" t="s">
        <v>286</v>
      </c>
      <c r="C26" s="115" t="s">
        <v>267</v>
      </c>
      <c r="D26" s="115">
        <v>4</v>
      </c>
      <c r="E26" s="115">
        <v>3</v>
      </c>
      <c r="F26" s="116">
        <f>D26/(D26+E26)</f>
        <v>0.5714285714285714</v>
      </c>
      <c r="G26" s="116">
        <f>E26/(D26+E26)</f>
        <v>0.42857142857142855</v>
      </c>
      <c r="H26" s="116">
        <f>F26+G26</f>
        <v>1</v>
      </c>
      <c r="I26" s="117" t="s">
        <v>223</v>
      </c>
      <c r="J26" s="84"/>
      <c r="K26" s="84">
        <v>1700000</v>
      </c>
      <c r="L26" s="83" t="s">
        <v>41</v>
      </c>
    </row>
    <row r="27" spans="1:12" x14ac:dyDescent="0.25">
      <c r="A27" s="114" t="s">
        <v>311</v>
      </c>
      <c r="B27" s="115" t="s">
        <v>287</v>
      </c>
      <c r="C27" s="115" t="s">
        <v>266</v>
      </c>
      <c r="D27" s="115">
        <v>3</v>
      </c>
      <c r="E27" s="115">
        <v>4</v>
      </c>
      <c r="F27" s="116">
        <f t="shared" ref="F27" si="3">D27/(D27+E27)</f>
        <v>0.42857142857142855</v>
      </c>
      <c r="G27" s="116">
        <f t="shared" ref="G27" si="4">E27/(D27+E27)</f>
        <v>0.5714285714285714</v>
      </c>
      <c r="H27" s="116">
        <f t="shared" ref="H27" si="5">F27+G27</f>
        <v>1</v>
      </c>
      <c r="I27" s="117" t="s">
        <v>281</v>
      </c>
      <c r="J27" s="84"/>
      <c r="K27" s="84">
        <v>1700000</v>
      </c>
      <c r="L27" s="83" t="s">
        <v>41</v>
      </c>
    </row>
    <row r="28" spans="1:12" x14ac:dyDescent="0.25">
      <c r="A28" s="114" t="s">
        <v>284</v>
      </c>
      <c r="B28" s="115" t="s">
        <v>291</v>
      </c>
      <c r="C28" s="114"/>
      <c r="D28" s="114"/>
      <c r="E28" s="114"/>
      <c r="F28" s="114"/>
      <c r="G28" s="114"/>
      <c r="H28" s="114"/>
      <c r="I28" s="114"/>
      <c r="J28" s="84"/>
      <c r="K28" s="84">
        <v>15500000</v>
      </c>
      <c r="L28" s="83" t="s">
        <v>41</v>
      </c>
    </row>
    <row r="29" spans="1:12" x14ac:dyDescent="0.25">
      <c r="A29" s="114" t="s">
        <v>284</v>
      </c>
      <c r="B29" s="115" t="s">
        <v>291</v>
      </c>
      <c r="C29" s="114"/>
      <c r="D29" s="114"/>
      <c r="E29" s="114"/>
      <c r="F29" s="114"/>
      <c r="G29" s="114"/>
      <c r="H29" s="114"/>
      <c r="I29" s="114"/>
      <c r="J29" s="84"/>
      <c r="K29" s="84">
        <v>15500000</v>
      </c>
      <c r="L29" s="83" t="s">
        <v>41</v>
      </c>
    </row>
    <row r="30" spans="1:12" x14ac:dyDescent="0.25">
      <c r="A30" s="83" t="s">
        <v>293</v>
      </c>
      <c r="B30" s="83" t="s">
        <v>294</v>
      </c>
      <c r="C30" s="83" t="s">
        <v>295</v>
      </c>
      <c r="D30" s="86">
        <v>5</v>
      </c>
      <c r="E30" s="86">
        <v>8</v>
      </c>
      <c r="F30" s="87">
        <f t="shared" ref="F30" si="6">D30/(D30+E30)</f>
        <v>0.38461538461538464</v>
      </c>
      <c r="G30" s="87">
        <f t="shared" ref="G30" si="7">E30/(D30+E30)</f>
        <v>0.61538461538461542</v>
      </c>
      <c r="H30" s="89">
        <f t="shared" ref="H30" si="8">F30+G30</f>
        <v>1</v>
      </c>
      <c r="I30" s="88" t="s">
        <v>283</v>
      </c>
    </row>
    <row r="31" spans="1:12" x14ac:dyDescent="0.25">
      <c r="A31" s="83" t="s">
        <v>299</v>
      </c>
      <c r="B31" s="83" t="s">
        <v>297</v>
      </c>
      <c r="C31" s="83" t="s">
        <v>298</v>
      </c>
      <c r="D31" s="86">
        <v>7</v>
      </c>
      <c r="E31" s="86">
        <v>7</v>
      </c>
      <c r="F31" s="87">
        <f t="shared" ref="F31" si="9">D31/(D31+E31)</f>
        <v>0.5</v>
      </c>
      <c r="G31" s="87">
        <f t="shared" ref="G31" si="10">E31/(D31+E31)</f>
        <v>0.5</v>
      </c>
      <c r="H31" s="89">
        <f t="shared" ref="H31" si="11">F31+G31</f>
        <v>1</v>
      </c>
      <c r="I31" s="88" t="s">
        <v>280</v>
      </c>
      <c r="L31" s="83" t="s">
        <v>292</v>
      </c>
    </row>
    <row r="32" spans="1:12" x14ac:dyDescent="0.25">
      <c r="A32" s="83" t="s">
        <v>296</v>
      </c>
      <c r="B32" s="83" t="s">
        <v>300</v>
      </c>
      <c r="C32" s="83" t="s">
        <v>301</v>
      </c>
      <c r="D32" s="86">
        <f>D30+D31</f>
        <v>12</v>
      </c>
      <c r="E32" s="86">
        <f>E31+E30</f>
        <v>15</v>
      </c>
      <c r="F32" s="87">
        <f t="shared" ref="F32" si="12">D32/(D32+E32)</f>
        <v>0.44444444444444442</v>
      </c>
      <c r="G32" s="87">
        <f t="shared" ref="G32" si="13">E32/(D32+E32)</f>
        <v>0.55555555555555558</v>
      </c>
      <c r="H32" s="89">
        <f t="shared" ref="H32" si="14">F32+G32</f>
        <v>1</v>
      </c>
      <c r="I32" s="88" t="s">
        <v>283</v>
      </c>
    </row>
  </sheetData>
  <mergeCells count="2">
    <mergeCell ref="B24:I24"/>
    <mergeCell ref="B4:I4"/>
  </mergeCells>
  <pageMargins left="0.7" right="0.7" top="0.75" bottom="0.75" header="0.3" footer="0.3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F1EBC-E9B6-6847-90C9-B5B5B1E49A58}">
  <dimension ref="A1:C11"/>
  <sheetViews>
    <sheetView workbookViewId="0">
      <selection activeCell="A11" sqref="A11:C11"/>
    </sheetView>
  </sheetViews>
  <sheetFormatPr baseColWidth="10" defaultRowHeight="16" x14ac:dyDescent="0.2"/>
  <cols>
    <col min="1" max="1" width="20.6640625" customWidth="1"/>
    <col min="2" max="2" width="13.6640625" bestFit="1" customWidth="1"/>
    <col min="3" max="3" width="25.6640625" bestFit="1" customWidth="1"/>
  </cols>
  <sheetData>
    <row r="1" spans="1:3" x14ac:dyDescent="0.2">
      <c r="A1" t="s">
        <v>312</v>
      </c>
    </row>
    <row r="3" spans="1:3" x14ac:dyDescent="0.2">
      <c r="A3" t="s">
        <v>314</v>
      </c>
      <c r="B3" t="s">
        <v>313</v>
      </c>
      <c r="C3" t="s">
        <v>344</v>
      </c>
    </row>
    <row r="4" spans="1:3" x14ac:dyDescent="0.2">
      <c r="A4">
        <v>1</v>
      </c>
      <c r="B4">
        <f>4*POWER(A4/2,3)*PI()/3</f>
        <v>0.52359877559829882</v>
      </c>
      <c r="C4">
        <f>B4*2</f>
        <v>1.0471975511965976</v>
      </c>
    </row>
    <row r="5" spans="1:3" x14ac:dyDescent="0.2">
      <c r="A5">
        <v>2</v>
      </c>
      <c r="B5">
        <f>4*POWER(A5/2,3)*PI()/3</f>
        <v>4.1887902047863905</v>
      </c>
      <c r="C5">
        <f>B5*2</f>
        <v>8.3775804095727811</v>
      </c>
    </row>
    <row r="6" spans="1:3" x14ac:dyDescent="0.2">
      <c r="A6">
        <v>3</v>
      </c>
      <c r="B6">
        <f t="shared" ref="B6:B11" si="0">4*POWER(A6/2,3)*PI()/3</f>
        <v>14.137166941154069</v>
      </c>
      <c r="C6">
        <f>B6*2</f>
        <v>28.274333882308138</v>
      </c>
    </row>
    <row r="7" spans="1:3" x14ac:dyDescent="0.2">
      <c r="A7">
        <v>4</v>
      </c>
      <c r="B7">
        <f t="shared" si="0"/>
        <v>33.510321638291124</v>
      </c>
      <c r="C7">
        <f t="shared" ref="C7:C11" si="1">B7*2</f>
        <v>67.020643276582248</v>
      </c>
    </row>
    <row r="8" spans="1:3" x14ac:dyDescent="0.2">
      <c r="A8">
        <v>5</v>
      </c>
      <c r="B8">
        <f t="shared" si="0"/>
        <v>65.449846949787357</v>
      </c>
      <c r="C8">
        <f t="shared" si="1"/>
        <v>130.89969389957471</v>
      </c>
    </row>
    <row r="9" spans="1:3" x14ac:dyDescent="0.2">
      <c r="A9">
        <v>6</v>
      </c>
      <c r="B9">
        <f t="shared" si="0"/>
        <v>113.09733552923255</v>
      </c>
      <c r="C9">
        <f t="shared" si="1"/>
        <v>226.1946710584651</v>
      </c>
    </row>
    <row r="10" spans="1:3" x14ac:dyDescent="0.2">
      <c r="A10">
        <v>7</v>
      </c>
      <c r="B10">
        <f t="shared" si="0"/>
        <v>179.59438003021651</v>
      </c>
      <c r="C10">
        <f t="shared" si="1"/>
        <v>359.18876006043303</v>
      </c>
    </row>
    <row r="11" spans="1:3" x14ac:dyDescent="0.2">
      <c r="A11" s="114">
        <v>8</v>
      </c>
      <c r="B11" s="114">
        <f t="shared" si="0"/>
        <v>268.08257310632899</v>
      </c>
      <c r="C11" s="114">
        <f t="shared" si="1"/>
        <v>536.16514621265799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1FF93-219A-6943-95C3-B8B08C55458B}">
  <dimension ref="A3:L30"/>
  <sheetViews>
    <sheetView topLeftCell="C1" zoomScale="160" zoomScaleNormal="160" workbookViewId="0">
      <selection activeCell="L20" sqref="L20"/>
    </sheetView>
  </sheetViews>
  <sheetFormatPr baseColWidth="10" defaultRowHeight="16" x14ac:dyDescent="0.2"/>
  <cols>
    <col min="1" max="1" width="27" bestFit="1" customWidth="1"/>
    <col min="5" max="5" width="24" bestFit="1" customWidth="1"/>
    <col min="10" max="10" width="11.1640625" bestFit="1" customWidth="1"/>
  </cols>
  <sheetData>
    <row r="3" spans="1:11" x14ac:dyDescent="0.2">
      <c r="A3" t="s">
        <v>315</v>
      </c>
      <c r="B3">
        <f>7*POWER(10,27)</f>
        <v>7.0000000000000004E+27</v>
      </c>
      <c r="E3" s="55"/>
      <c r="F3" s="119" t="s">
        <v>316</v>
      </c>
      <c r="G3" s="119" t="s">
        <v>317</v>
      </c>
      <c r="H3" s="119" t="s">
        <v>318</v>
      </c>
      <c r="I3" s="119" t="s">
        <v>319</v>
      </c>
      <c r="J3" s="123" t="s">
        <v>324</v>
      </c>
    </row>
    <row r="4" spans="1:11" x14ac:dyDescent="0.2">
      <c r="A4" t="s">
        <v>320</v>
      </c>
      <c r="E4" s="55" t="s">
        <v>339</v>
      </c>
      <c r="F4" s="55">
        <v>1</v>
      </c>
      <c r="G4" s="55">
        <v>8</v>
      </c>
      <c r="H4" s="55">
        <v>6</v>
      </c>
      <c r="I4" s="55"/>
      <c r="J4" s="124"/>
    </row>
    <row r="5" spans="1:11" x14ac:dyDescent="0.2">
      <c r="E5" s="55" t="s">
        <v>338</v>
      </c>
      <c r="F5" s="55">
        <v>0</v>
      </c>
      <c r="G5" s="55">
        <v>8</v>
      </c>
      <c r="H5" s="55">
        <v>6</v>
      </c>
      <c r="I5" s="55"/>
      <c r="J5" s="124"/>
    </row>
    <row r="6" spans="1:11" x14ac:dyDescent="0.2">
      <c r="E6" s="121" t="s">
        <v>325</v>
      </c>
      <c r="F6" s="122">
        <f>4.7*POWER(10,27)</f>
        <v>4.7000000000000003E+27</v>
      </c>
      <c r="G6" s="122">
        <f>1.8*POWER(10,27)</f>
        <v>1.8000000000000002E+27</v>
      </c>
      <c r="H6" s="122">
        <f>7*POWER(10,26)</f>
        <v>6.9999999999999998E+26</v>
      </c>
      <c r="I6" s="122">
        <f>1%*SUM(F6:H6)</f>
        <v>7.2000000000000012E+25</v>
      </c>
      <c r="J6" s="125">
        <f>SUM(F6:I6)</f>
        <v>7.2720000000000009E+27</v>
      </c>
    </row>
    <row r="7" spans="1:11" x14ac:dyDescent="0.2">
      <c r="E7" s="55" t="s">
        <v>321</v>
      </c>
      <c r="F7" s="120">
        <f>F6*F4</f>
        <v>4.7000000000000003E+27</v>
      </c>
      <c r="G7" s="120">
        <f t="shared" ref="G7:H7" si="0">G6*G4</f>
        <v>1.4400000000000002E+28</v>
      </c>
      <c r="H7" s="120">
        <f t="shared" si="0"/>
        <v>4.1999999999999999E+27</v>
      </c>
      <c r="I7" s="120">
        <f>1%*SUM(F7:H7)</f>
        <v>2.3300000000000004E+26</v>
      </c>
      <c r="J7" s="125">
        <f>SUM(F7:I7)</f>
        <v>2.3533000000000004E+28</v>
      </c>
      <c r="K7" s="118"/>
    </row>
    <row r="8" spans="1:11" x14ac:dyDescent="0.2">
      <c r="E8" s="55" t="s">
        <v>322</v>
      </c>
      <c r="F8" s="120">
        <f>F6*F5</f>
        <v>0</v>
      </c>
      <c r="G8" s="120">
        <f t="shared" ref="G8:H8" si="1">G6*G5</f>
        <v>1.4400000000000002E+28</v>
      </c>
      <c r="H8" s="120">
        <f t="shared" si="1"/>
        <v>4.1999999999999999E+27</v>
      </c>
      <c r="I8" s="120">
        <f t="shared" ref="I8:I9" si="2">1%*SUM(F8:H8)</f>
        <v>1.86E+26</v>
      </c>
      <c r="J8" s="125">
        <f t="shared" ref="J8:J9" si="3">SUM(F8:I8)</f>
        <v>1.8786E+28</v>
      </c>
    </row>
    <row r="9" spans="1:11" x14ac:dyDescent="0.2">
      <c r="E9" s="55" t="s">
        <v>323</v>
      </c>
      <c r="F9" s="120">
        <f>F7</f>
        <v>4.7000000000000003E+27</v>
      </c>
      <c r="G9" s="120">
        <f t="shared" ref="G9:H9" si="4">G7</f>
        <v>1.4400000000000002E+28</v>
      </c>
      <c r="H9" s="120">
        <f t="shared" si="4"/>
        <v>4.1999999999999999E+27</v>
      </c>
      <c r="I9" s="120">
        <f t="shared" si="2"/>
        <v>2.3300000000000004E+26</v>
      </c>
      <c r="J9" s="125">
        <f t="shared" si="3"/>
        <v>2.3533000000000004E+28</v>
      </c>
    </row>
    <row r="10" spans="1:11" x14ac:dyDescent="0.2">
      <c r="E10" s="55"/>
      <c r="F10" s="55"/>
      <c r="G10" s="55"/>
      <c r="H10" s="55"/>
      <c r="I10" s="55"/>
      <c r="J10" s="124"/>
    </row>
    <row r="11" spans="1:11" x14ac:dyDescent="0.2">
      <c r="E11" s="55" t="s">
        <v>333</v>
      </c>
      <c r="F11" s="55">
        <v>5</v>
      </c>
      <c r="G11" s="55">
        <v>5</v>
      </c>
      <c r="H11" s="55">
        <v>5</v>
      </c>
      <c r="I11" s="55">
        <v>5</v>
      </c>
      <c r="J11" s="124">
        <v>5</v>
      </c>
    </row>
    <row r="12" spans="1:11" x14ac:dyDescent="0.2">
      <c r="E12" s="55" t="s">
        <v>335</v>
      </c>
      <c r="F12" s="55">
        <v>7</v>
      </c>
      <c r="G12" s="55">
        <v>7</v>
      </c>
      <c r="H12" s="55">
        <v>7</v>
      </c>
      <c r="I12" s="55">
        <v>7</v>
      </c>
      <c r="J12" s="124">
        <v>7</v>
      </c>
    </row>
    <row r="13" spans="1:11" x14ac:dyDescent="0.2">
      <c r="E13" s="55" t="s">
        <v>337</v>
      </c>
      <c r="F13" s="55">
        <v>3</v>
      </c>
      <c r="G13" s="55">
        <v>3</v>
      </c>
      <c r="H13" s="55">
        <v>3</v>
      </c>
      <c r="I13" s="55">
        <v>3</v>
      </c>
      <c r="J13" s="124">
        <v>3</v>
      </c>
    </row>
    <row r="14" spans="1:11" x14ac:dyDescent="0.2">
      <c r="E14" s="55" t="s">
        <v>334</v>
      </c>
      <c r="F14" s="55">
        <v>8</v>
      </c>
      <c r="G14" s="55">
        <v>8</v>
      </c>
      <c r="H14" s="55">
        <v>8</v>
      </c>
      <c r="I14" s="55">
        <v>8</v>
      </c>
      <c r="J14" s="124">
        <v>8</v>
      </c>
    </row>
    <row r="15" spans="1:11" x14ac:dyDescent="0.2">
      <c r="E15" s="55" t="s">
        <v>336</v>
      </c>
      <c r="F15" s="55">
        <v>7</v>
      </c>
      <c r="G15" s="55">
        <v>7</v>
      </c>
      <c r="H15" s="55">
        <v>7</v>
      </c>
      <c r="I15" s="55">
        <v>7</v>
      </c>
      <c r="J15" s="124">
        <v>7</v>
      </c>
    </row>
    <row r="16" spans="1:11" x14ac:dyDescent="0.2">
      <c r="E16" s="55"/>
      <c r="F16" s="55"/>
      <c r="G16" s="55"/>
      <c r="H16" s="55"/>
      <c r="I16" s="55"/>
      <c r="J16" s="124"/>
    </row>
    <row r="17" spans="5:12" x14ac:dyDescent="0.2">
      <c r="E17" s="55" t="s">
        <v>326</v>
      </c>
      <c r="F17" s="120">
        <f t="shared" ref="F17:I19" si="5">F11*F7</f>
        <v>2.3500000000000003E+28</v>
      </c>
      <c r="G17" s="120">
        <f t="shared" si="5"/>
        <v>7.2000000000000008E+28</v>
      </c>
      <c r="H17" s="120">
        <f t="shared" si="5"/>
        <v>2.0999999999999999E+28</v>
      </c>
      <c r="I17" s="120">
        <f t="shared" si="5"/>
        <v>1.1650000000000001E+27</v>
      </c>
      <c r="J17" s="125">
        <f>SUM(F17:I17)</f>
        <v>1.17665E+29</v>
      </c>
    </row>
    <row r="18" spans="5:12" x14ac:dyDescent="0.2">
      <c r="E18" s="55" t="s">
        <v>327</v>
      </c>
      <c r="F18" s="120">
        <f t="shared" si="5"/>
        <v>0</v>
      </c>
      <c r="G18" s="120">
        <f t="shared" si="5"/>
        <v>1.008E+29</v>
      </c>
      <c r="H18" s="120">
        <f t="shared" si="5"/>
        <v>2.9399999999999998E+28</v>
      </c>
      <c r="I18" s="120">
        <f t="shared" si="5"/>
        <v>1.3019999999999999E+27</v>
      </c>
      <c r="J18" s="125">
        <f t="shared" ref="J18:J24" si="6">SUM(F18:I18)</f>
        <v>1.3150200000000001E+29</v>
      </c>
    </row>
    <row r="19" spans="5:12" x14ac:dyDescent="0.2">
      <c r="E19" s="55" t="s">
        <v>328</v>
      </c>
      <c r="F19" s="120">
        <f t="shared" si="5"/>
        <v>1.41E+28</v>
      </c>
      <c r="G19" s="120">
        <f t="shared" si="5"/>
        <v>4.3200000000000005E+28</v>
      </c>
      <c r="H19" s="120">
        <f t="shared" si="5"/>
        <v>1.26E+28</v>
      </c>
      <c r="I19" s="120">
        <f t="shared" si="5"/>
        <v>6.9900000000000018E+26</v>
      </c>
      <c r="J19" s="125">
        <f t="shared" si="6"/>
        <v>7.0599000000000008E+28</v>
      </c>
    </row>
    <row r="20" spans="5:12" x14ac:dyDescent="0.2">
      <c r="E20" s="121" t="s">
        <v>329</v>
      </c>
      <c r="F20" s="122">
        <f>SUM(F17:F19)</f>
        <v>3.7600000000000002E+28</v>
      </c>
      <c r="G20" s="122">
        <f t="shared" ref="G20:I20" si="7">SUM(G17:G19)</f>
        <v>2.1600000000000001E+29</v>
      </c>
      <c r="H20" s="122">
        <f t="shared" si="7"/>
        <v>6.3000000000000001E+28</v>
      </c>
      <c r="I20" s="122">
        <f t="shared" si="7"/>
        <v>3.1660000000000002E+27</v>
      </c>
      <c r="J20" s="126">
        <f t="shared" si="6"/>
        <v>3.1976600000000008E+29</v>
      </c>
      <c r="K20" s="118">
        <f>J20/J6</f>
        <v>43.972222222222229</v>
      </c>
      <c r="L20" s="118">
        <f>(J20+J24)/J6</f>
        <v>87.944444444444457</v>
      </c>
    </row>
    <row r="21" spans="5:12" x14ac:dyDescent="0.2">
      <c r="E21" s="55"/>
      <c r="F21" s="55"/>
      <c r="G21" s="55"/>
      <c r="H21" s="55"/>
      <c r="I21" s="55"/>
      <c r="J21" s="125"/>
    </row>
    <row r="22" spans="5:12" x14ac:dyDescent="0.2">
      <c r="E22" s="55" t="s">
        <v>330</v>
      </c>
      <c r="F22" s="120">
        <f t="shared" ref="F22:I23" si="8">F14*F7</f>
        <v>3.7600000000000002E+28</v>
      </c>
      <c r="G22" s="120">
        <f t="shared" si="8"/>
        <v>1.1520000000000001E+29</v>
      </c>
      <c r="H22" s="120">
        <f t="shared" si="8"/>
        <v>3.3599999999999999E+28</v>
      </c>
      <c r="I22" s="120">
        <f t="shared" si="8"/>
        <v>1.8640000000000003E+27</v>
      </c>
      <c r="J22" s="125">
        <f t="shared" si="6"/>
        <v>1.8826400000000003E+29</v>
      </c>
    </row>
    <row r="23" spans="5:12" x14ac:dyDescent="0.2">
      <c r="E23" s="55" t="s">
        <v>331</v>
      </c>
      <c r="F23" s="120">
        <f t="shared" si="8"/>
        <v>0</v>
      </c>
      <c r="G23" s="120">
        <f t="shared" si="8"/>
        <v>1.008E+29</v>
      </c>
      <c r="H23" s="120">
        <f t="shared" si="8"/>
        <v>2.9399999999999998E+28</v>
      </c>
      <c r="I23" s="120">
        <f t="shared" si="8"/>
        <v>1.3019999999999999E+27</v>
      </c>
      <c r="J23" s="125">
        <f t="shared" si="6"/>
        <v>1.3150200000000001E+29</v>
      </c>
    </row>
    <row r="24" spans="5:12" x14ac:dyDescent="0.2">
      <c r="E24" s="121" t="s">
        <v>332</v>
      </c>
      <c r="F24" s="122">
        <f>SUM(F22:F23)</f>
        <v>3.7600000000000002E+28</v>
      </c>
      <c r="G24" s="122">
        <f t="shared" ref="G24:I24" si="9">SUM(G22:G23)</f>
        <v>2.1600000000000001E+29</v>
      </c>
      <c r="H24" s="122">
        <f t="shared" si="9"/>
        <v>6.3000000000000001E+28</v>
      </c>
      <c r="I24" s="122">
        <f t="shared" si="9"/>
        <v>3.1660000000000002E+27</v>
      </c>
      <c r="J24" s="126">
        <f t="shared" si="6"/>
        <v>3.1976600000000008E+29</v>
      </c>
    </row>
    <row r="25" spans="5:12" x14ac:dyDescent="0.2">
      <c r="E25" s="55"/>
      <c r="F25" s="55"/>
      <c r="G25" s="55"/>
      <c r="H25" s="55"/>
      <c r="I25" s="55"/>
      <c r="J25" s="55"/>
    </row>
    <row r="26" spans="5:12" x14ac:dyDescent="0.2">
      <c r="E26" s="55" t="s">
        <v>340</v>
      </c>
      <c r="F26" s="128">
        <f>F20/F6</f>
        <v>8</v>
      </c>
      <c r="G26" s="128">
        <f t="shared" ref="G26:I26" si="10">G20/G6</f>
        <v>120</v>
      </c>
      <c r="H26" s="128">
        <f t="shared" si="10"/>
        <v>90</v>
      </c>
      <c r="I26" s="128">
        <f t="shared" si="10"/>
        <v>43.972222222222221</v>
      </c>
      <c r="J26" s="55"/>
      <c r="K26" s="128">
        <f>SUM(F26:I26)</f>
        <v>261.97222222222223</v>
      </c>
    </row>
    <row r="27" spans="5:12" x14ac:dyDescent="0.2">
      <c r="E27" s="55" t="s">
        <v>341</v>
      </c>
      <c r="F27" s="128">
        <f>F24/F6</f>
        <v>8</v>
      </c>
      <c r="G27" s="128">
        <f t="shared" ref="G27:I27" si="11">G24/G6</f>
        <v>120</v>
      </c>
      <c r="H27" s="128">
        <f t="shared" si="11"/>
        <v>90</v>
      </c>
      <c r="I27" s="128">
        <f t="shared" si="11"/>
        <v>43.972222222222221</v>
      </c>
      <c r="J27" s="55"/>
      <c r="K27" s="128">
        <f>SUM(F27:I27)</f>
        <v>261.97222222222223</v>
      </c>
    </row>
    <row r="28" spans="5:12" x14ac:dyDescent="0.2">
      <c r="E28" s="55"/>
      <c r="F28" s="55"/>
      <c r="G28" s="55"/>
      <c r="H28" s="55"/>
      <c r="I28" s="55"/>
      <c r="J28" s="55"/>
    </row>
    <row r="29" spans="5:12" x14ac:dyDescent="0.2">
      <c r="E29" s="55" t="s">
        <v>342</v>
      </c>
      <c r="F29" s="127">
        <f t="shared" ref="F29:I30" si="12">F26/$K26</f>
        <v>3.0537588802884104E-2</v>
      </c>
      <c r="G29" s="127">
        <f t="shared" si="12"/>
        <v>0.45806383204326157</v>
      </c>
      <c r="H29" s="127">
        <f t="shared" si="12"/>
        <v>0.34354787403244619</v>
      </c>
      <c r="I29" s="127">
        <f t="shared" si="12"/>
        <v>0.16785070512140812</v>
      </c>
      <c r="J29" s="127">
        <f>K26/$K26</f>
        <v>1</v>
      </c>
    </row>
    <row r="30" spans="5:12" x14ac:dyDescent="0.2">
      <c r="E30" s="55" t="s">
        <v>343</v>
      </c>
      <c r="F30" s="127">
        <f t="shared" si="12"/>
        <v>3.0537588802884104E-2</v>
      </c>
      <c r="G30" s="127">
        <f t="shared" si="12"/>
        <v>0.45806383204326157</v>
      </c>
      <c r="H30" s="127">
        <f t="shared" si="12"/>
        <v>0.34354787403244619</v>
      </c>
      <c r="I30" s="127">
        <f t="shared" si="12"/>
        <v>0.16785070512140812</v>
      </c>
      <c r="J30" s="127">
        <f>K27/$K27</f>
        <v>1</v>
      </c>
    </row>
  </sheetData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71E4E-FA6A-0B4E-BBC6-327FF86069B6}">
  <sheetPr>
    <tabColor rgb="FFFF0000"/>
  </sheetPr>
  <dimension ref="A2:J65"/>
  <sheetViews>
    <sheetView topLeftCell="A34" zoomScale="150" zoomScaleNormal="150" workbookViewId="0">
      <selection activeCell="A31" sqref="A31"/>
    </sheetView>
  </sheetViews>
  <sheetFormatPr baseColWidth="10" defaultRowHeight="16" x14ac:dyDescent="0.2"/>
  <cols>
    <col min="2" max="7" width="21" customWidth="1"/>
    <col min="8" max="8" width="20.6640625" customWidth="1"/>
    <col min="9" max="9" width="17.83203125" customWidth="1"/>
  </cols>
  <sheetData>
    <row r="2" spans="2:8" ht="17" thickBot="1" x14ac:dyDescent="0.25">
      <c r="B2" t="s">
        <v>86</v>
      </c>
    </row>
    <row r="3" spans="2:8" x14ac:dyDescent="0.2">
      <c r="B3" s="137" t="s">
        <v>43</v>
      </c>
      <c r="C3" s="12" t="s">
        <v>44</v>
      </c>
      <c r="D3" s="137" t="s">
        <v>27</v>
      </c>
      <c r="E3" s="139" t="s">
        <v>46</v>
      </c>
      <c r="F3" s="14" t="s">
        <v>47</v>
      </c>
      <c r="G3" s="137" t="s">
        <v>49</v>
      </c>
    </row>
    <row r="4" spans="2:8" ht="17" thickBot="1" x14ac:dyDescent="0.25">
      <c r="B4" s="138"/>
      <c r="C4" s="13" t="s">
        <v>45</v>
      </c>
      <c r="D4" s="138"/>
      <c r="E4" s="140"/>
      <c r="F4" s="15" t="s">
        <v>48</v>
      </c>
      <c r="G4" s="138"/>
    </row>
    <row r="5" spans="2:8" ht="18" thickBot="1" x14ac:dyDescent="0.25">
      <c r="B5" s="25">
        <v>1</v>
      </c>
      <c r="C5" s="26" t="s">
        <v>32</v>
      </c>
      <c r="D5" s="27" t="s">
        <v>50</v>
      </c>
      <c r="E5" s="28" t="s">
        <v>87</v>
      </c>
      <c r="F5" s="27" t="s">
        <v>101</v>
      </c>
      <c r="G5" s="29">
        <v>0</v>
      </c>
      <c r="H5" t="s">
        <v>106</v>
      </c>
    </row>
    <row r="6" spans="2:8" ht="18" thickBot="1" x14ac:dyDescent="0.25">
      <c r="B6" s="25">
        <v>2</v>
      </c>
      <c r="C6" s="26" t="s">
        <v>51</v>
      </c>
      <c r="D6" s="27" t="s">
        <v>52</v>
      </c>
      <c r="E6" s="28" t="s">
        <v>88</v>
      </c>
      <c r="F6" s="27"/>
      <c r="G6" s="29">
        <v>1</v>
      </c>
      <c r="H6" t="s">
        <v>108</v>
      </c>
    </row>
    <row r="7" spans="2:8" ht="18" thickBot="1" x14ac:dyDescent="0.25">
      <c r="B7" s="25">
        <v>3</v>
      </c>
      <c r="C7" s="26" t="s">
        <v>53</v>
      </c>
      <c r="D7" s="27" t="s">
        <v>54</v>
      </c>
      <c r="E7" s="28">
        <v>-1</v>
      </c>
      <c r="F7" s="27" t="s">
        <v>102</v>
      </c>
      <c r="G7" s="29">
        <v>3</v>
      </c>
    </row>
    <row r="8" spans="2:8" ht="17" thickBot="1" x14ac:dyDescent="0.25">
      <c r="B8" s="16">
        <v>4</v>
      </c>
      <c r="C8" s="17" t="s">
        <v>55</v>
      </c>
      <c r="D8" s="15" t="s">
        <v>56</v>
      </c>
      <c r="E8" s="23" t="s">
        <v>89</v>
      </c>
      <c r="F8" s="15" t="s">
        <v>57</v>
      </c>
      <c r="G8" s="18">
        <v>6</v>
      </c>
      <c r="H8" t="s">
        <v>106</v>
      </c>
    </row>
    <row r="9" spans="2:8" ht="17" thickBot="1" x14ac:dyDescent="0.25">
      <c r="B9" s="16">
        <v>5</v>
      </c>
      <c r="C9" s="17" t="s">
        <v>58</v>
      </c>
      <c r="D9" s="15" t="s">
        <v>59</v>
      </c>
      <c r="E9" s="23" t="s">
        <v>90</v>
      </c>
      <c r="F9" s="15"/>
      <c r="G9" s="18">
        <v>24</v>
      </c>
      <c r="H9" t="s">
        <v>108</v>
      </c>
    </row>
    <row r="10" spans="2:8" ht="17" thickBot="1" x14ac:dyDescent="0.25">
      <c r="B10" s="16">
        <v>6</v>
      </c>
      <c r="C10" s="17" t="s">
        <v>60</v>
      </c>
      <c r="D10" s="15" t="s">
        <v>61</v>
      </c>
      <c r="E10" s="23" t="s">
        <v>84</v>
      </c>
      <c r="F10" s="15"/>
      <c r="G10" s="18">
        <v>120</v>
      </c>
    </row>
    <row r="11" spans="2:8" ht="17" thickBot="1" x14ac:dyDescent="0.25">
      <c r="B11" s="16">
        <v>7</v>
      </c>
      <c r="C11" s="17" t="s">
        <v>62</v>
      </c>
      <c r="D11" s="15" t="s">
        <v>63</v>
      </c>
      <c r="E11" s="23" t="s">
        <v>91</v>
      </c>
      <c r="F11" s="15" t="s">
        <v>64</v>
      </c>
      <c r="G11" s="18">
        <v>720</v>
      </c>
      <c r="H11" t="s">
        <v>106</v>
      </c>
    </row>
    <row r="12" spans="2:8" ht="17" thickBot="1" x14ac:dyDescent="0.25">
      <c r="B12" s="16">
        <v>8</v>
      </c>
      <c r="C12" s="17" t="s">
        <v>65</v>
      </c>
      <c r="D12" s="15" t="s">
        <v>66</v>
      </c>
      <c r="E12" s="23" t="s">
        <v>92</v>
      </c>
      <c r="F12" s="15"/>
      <c r="G12" s="18">
        <v>5040</v>
      </c>
      <c r="H12" t="s">
        <v>108</v>
      </c>
    </row>
    <row r="13" spans="2:8" ht="17" thickBot="1" x14ac:dyDescent="0.25">
      <c r="B13" s="19"/>
      <c r="C13" s="20"/>
      <c r="D13" s="21"/>
      <c r="E13" s="24"/>
      <c r="F13" s="21"/>
      <c r="G13" s="22"/>
    </row>
    <row r="14" spans="2:8" ht="18" thickBot="1" x14ac:dyDescent="0.25">
      <c r="B14" s="25">
        <v>1</v>
      </c>
      <c r="C14" s="26" t="s">
        <v>30</v>
      </c>
      <c r="D14" s="27" t="s">
        <v>67</v>
      </c>
      <c r="E14" s="28" t="s">
        <v>98</v>
      </c>
      <c r="F14" s="27"/>
      <c r="G14" s="29">
        <v>0</v>
      </c>
      <c r="H14" t="s">
        <v>107</v>
      </c>
    </row>
    <row r="15" spans="2:8" ht="18" thickBot="1" x14ac:dyDescent="0.25">
      <c r="B15" s="25">
        <v>2</v>
      </c>
      <c r="C15" s="26" t="s">
        <v>68</v>
      </c>
      <c r="D15" s="27" t="s">
        <v>69</v>
      </c>
      <c r="E15" s="28" t="s">
        <v>93</v>
      </c>
      <c r="F15" s="27" t="s">
        <v>103</v>
      </c>
      <c r="G15" s="29">
        <v>1</v>
      </c>
      <c r="H15" t="s">
        <v>109</v>
      </c>
    </row>
    <row r="16" spans="2:8" ht="18" thickBot="1" x14ac:dyDescent="0.25">
      <c r="B16" s="25">
        <v>3</v>
      </c>
      <c r="C16" s="26" t="s">
        <v>70</v>
      </c>
      <c r="D16" s="27" t="s">
        <v>71</v>
      </c>
      <c r="E16" s="28">
        <v>1</v>
      </c>
      <c r="F16" s="27"/>
      <c r="G16" s="29">
        <v>3</v>
      </c>
    </row>
    <row r="17" spans="1:10" ht="17" thickBot="1" x14ac:dyDescent="0.25">
      <c r="B17" s="16">
        <v>4</v>
      </c>
      <c r="C17" s="17" t="s">
        <v>72</v>
      </c>
      <c r="D17" s="15" t="s">
        <v>73</v>
      </c>
      <c r="E17" s="23" t="s">
        <v>94</v>
      </c>
      <c r="F17" s="15"/>
      <c r="G17" s="18">
        <v>6</v>
      </c>
      <c r="H17" t="s">
        <v>107</v>
      </c>
    </row>
    <row r="18" spans="1:10" ht="17" thickBot="1" x14ac:dyDescent="0.25">
      <c r="B18" s="16">
        <v>5</v>
      </c>
      <c r="C18" s="17" t="s">
        <v>74</v>
      </c>
      <c r="D18" s="15" t="s">
        <v>75</v>
      </c>
      <c r="E18" s="23" t="s">
        <v>95</v>
      </c>
      <c r="F18" s="15" t="s">
        <v>76</v>
      </c>
      <c r="G18" s="18">
        <v>24</v>
      </c>
      <c r="H18" t="s">
        <v>109</v>
      </c>
    </row>
    <row r="19" spans="1:10" ht="17" thickBot="1" x14ac:dyDescent="0.25">
      <c r="B19" s="16">
        <v>6</v>
      </c>
      <c r="C19" s="17" t="s">
        <v>77</v>
      </c>
      <c r="D19" s="15" t="s">
        <v>78</v>
      </c>
      <c r="E19" s="23" t="s">
        <v>85</v>
      </c>
      <c r="F19" s="15"/>
      <c r="G19" s="18">
        <v>120</v>
      </c>
    </row>
    <row r="20" spans="1:10" ht="17" thickBot="1" x14ac:dyDescent="0.25">
      <c r="B20" s="16">
        <v>7</v>
      </c>
      <c r="C20" s="17" t="s">
        <v>79</v>
      </c>
      <c r="D20" s="15" t="s">
        <v>80</v>
      </c>
      <c r="E20" s="23" t="s">
        <v>96</v>
      </c>
      <c r="F20" s="15"/>
      <c r="G20" s="18">
        <v>720</v>
      </c>
      <c r="H20" t="s">
        <v>107</v>
      </c>
    </row>
    <row r="21" spans="1:10" ht="17" thickBot="1" x14ac:dyDescent="0.25">
      <c r="B21" s="16">
        <v>8</v>
      </c>
      <c r="C21" s="17" t="s">
        <v>81</v>
      </c>
      <c r="D21" s="15" t="s">
        <v>82</v>
      </c>
      <c r="E21" s="23" t="s">
        <v>97</v>
      </c>
      <c r="F21" s="15" t="s">
        <v>83</v>
      </c>
      <c r="G21" s="18">
        <v>5040</v>
      </c>
    </row>
    <row r="25" spans="1:10" ht="17" thickBot="1" x14ac:dyDescent="0.25">
      <c r="A25" s="56"/>
      <c r="B25" s="34" t="s">
        <v>44</v>
      </c>
      <c r="C25" s="60" t="s">
        <v>209</v>
      </c>
      <c r="D25" s="34"/>
      <c r="E25" s="34" t="s">
        <v>149</v>
      </c>
      <c r="F25" s="34" t="s">
        <v>46</v>
      </c>
      <c r="G25" s="34" t="s">
        <v>47</v>
      </c>
      <c r="H25" s="34" t="s">
        <v>204</v>
      </c>
    </row>
    <row r="26" spans="1:10" x14ac:dyDescent="0.2">
      <c r="A26" s="56">
        <v>1</v>
      </c>
      <c r="B26" s="67" t="s">
        <v>100</v>
      </c>
      <c r="C26" s="61" t="s">
        <v>119</v>
      </c>
      <c r="D26" s="44" t="s">
        <v>122</v>
      </c>
      <c r="E26" s="36" t="s">
        <v>153</v>
      </c>
      <c r="F26" s="36" t="s">
        <v>178</v>
      </c>
      <c r="G26" s="36" t="s">
        <v>145</v>
      </c>
      <c r="H26" s="36">
        <v>0</v>
      </c>
      <c r="I26" t="s">
        <v>123</v>
      </c>
      <c r="J26" s="41" t="s">
        <v>176</v>
      </c>
    </row>
    <row r="27" spans="1:10" x14ac:dyDescent="0.2">
      <c r="A27" s="56">
        <v>2</v>
      </c>
      <c r="B27" s="67" t="s">
        <v>104</v>
      </c>
      <c r="C27" s="62" t="s">
        <v>120</v>
      </c>
      <c r="D27" s="44" t="s">
        <v>122</v>
      </c>
      <c r="E27" s="36" t="s">
        <v>154</v>
      </c>
      <c r="F27" s="36">
        <v>0</v>
      </c>
      <c r="G27" s="36" t="s">
        <v>146</v>
      </c>
      <c r="H27" s="36" t="s">
        <v>116</v>
      </c>
      <c r="J27" s="41" t="s">
        <v>176</v>
      </c>
    </row>
    <row r="28" spans="1:10" ht="17" thickBot="1" x14ac:dyDescent="0.25">
      <c r="A28" s="56">
        <v>3</v>
      </c>
      <c r="B28" s="67" t="s">
        <v>105</v>
      </c>
      <c r="C28" s="63" t="s">
        <v>121</v>
      </c>
      <c r="D28" s="44" t="s">
        <v>122</v>
      </c>
      <c r="E28" s="36" t="s">
        <v>155</v>
      </c>
      <c r="F28" s="36">
        <v>0</v>
      </c>
      <c r="G28" s="36" t="s">
        <v>147</v>
      </c>
      <c r="H28" s="36" t="s">
        <v>117</v>
      </c>
      <c r="J28" s="41" t="s">
        <v>176</v>
      </c>
    </row>
    <row r="29" spans="1:10" ht="18" thickBot="1" x14ac:dyDescent="0.25">
      <c r="A29" s="71">
        <v>4</v>
      </c>
      <c r="B29" s="45" t="s">
        <v>32</v>
      </c>
      <c r="C29" s="64" t="s">
        <v>32</v>
      </c>
      <c r="D29" s="46" t="s">
        <v>122</v>
      </c>
      <c r="E29" s="46" t="s">
        <v>151</v>
      </c>
      <c r="F29" s="47" t="s">
        <v>87</v>
      </c>
      <c r="G29" s="46" t="s">
        <v>150</v>
      </c>
      <c r="H29" s="45">
        <v>0</v>
      </c>
    </row>
    <row r="30" spans="1:10" ht="17" x14ac:dyDescent="0.2">
      <c r="A30" s="71">
        <v>5</v>
      </c>
      <c r="B30" s="68" t="s">
        <v>135</v>
      </c>
      <c r="C30" s="66" t="s">
        <v>156</v>
      </c>
      <c r="D30" s="54" t="s">
        <v>172</v>
      </c>
      <c r="E30" s="49" t="s">
        <v>50</v>
      </c>
      <c r="F30" s="39" t="s">
        <v>87</v>
      </c>
      <c r="G30" s="49" t="s">
        <v>129</v>
      </c>
      <c r="H30" s="39" t="s">
        <v>110</v>
      </c>
    </row>
    <row r="31" spans="1:10" ht="17" x14ac:dyDescent="0.2">
      <c r="A31" s="56">
        <v>6</v>
      </c>
      <c r="B31" s="67" t="s">
        <v>136</v>
      </c>
      <c r="C31" s="62" t="s">
        <v>157</v>
      </c>
      <c r="D31" s="44" t="s">
        <v>122</v>
      </c>
      <c r="E31" s="35" t="s">
        <v>56</v>
      </c>
      <c r="F31" s="36" t="s">
        <v>87</v>
      </c>
      <c r="G31" s="35" t="s">
        <v>174</v>
      </c>
      <c r="H31" s="36" t="s">
        <v>111</v>
      </c>
    </row>
    <row r="32" spans="1:10" ht="18" thickBot="1" x14ac:dyDescent="0.25">
      <c r="A32" s="56">
        <v>7</v>
      </c>
      <c r="B32" s="69" t="s">
        <v>137</v>
      </c>
      <c r="C32" s="63" t="s">
        <v>158</v>
      </c>
      <c r="D32" s="44" t="s">
        <v>122</v>
      </c>
      <c r="E32" s="36" t="s">
        <v>63</v>
      </c>
      <c r="F32" s="36" t="s">
        <v>87</v>
      </c>
      <c r="G32" s="35" t="s">
        <v>175</v>
      </c>
      <c r="H32" s="35" t="s">
        <v>133</v>
      </c>
    </row>
    <row r="33" spans="1:9" ht="18" thickBot="1" x14ac:dyDescent="0.25">
      <c r="A33" s="71">
        <v>8</v>
      </c>
      <c r="B33" s="49" t="s">
        <v>30</v>
      </c>
      <c r="C33" s="40" t="s">
        <v>30</v>
      </c>
      <c r="D33" s="49" t="s">
        <v>172</v>
      </c>
      <c r="E33" s="39" t="s">
        <v>152</v>
      </c>
      <c r="F33" s="50" t="s">
        <v>177</v>
      </c>
      <c r="G33" s="49"/>
      <c r="H33" s="49">
        <v>0</v>
      </c>
    </row>
    <row r="34" spans="1:9" ht="17" x14ac:dyDescent="0.2">
      <c r="A34" s="71">
        <v>9</v>
      </c>
      <c r="B34" s="67" t="s">
        <v>138</v>
      </c>
      <c r="C34" s="61" t="s">
        <v>159</v>
      </c>
      <c r="D34" s="44" t="s">
        <v>122</v>
      </c>
      <c r="E34" s="35" t="s">
        <v>67</v>
      </c>
      <c r="F34" s="36" t="s">
        <v>98</v>
      </c>
      <c r="G34" s="36"/>
      <c r="H34" s="36" t="s">
        <v>112</v>
      </c>
    </row>
    <row r="35" spans="1:9" x14ac:dyDescent="0.2">
      <c r="A35" s="56">
        <v>10</v>
      </c>
      <c r="B35" s="67" t="s">
        <v>139</v>
      </c>
      <c r="C35" s="62" t="s">
        <v>160</v>
      </c>
      <c r="D35" s="44" t="s">
        <v>122</v>
      </c>
      <c r="E35" s="36" t="s">
        <v>73</v>
      </c>
      <c r="F35" s="36" t="s">
        <v>98</v>
      </c>
      <c r="G35" s="36"/>
      <c r="H35" s="36" t="s">
        <v>113</v>
      </c>
    </row>
    <row r="36" spans="1:9" ht="18" thickBot="1" x14ac:dyDescent="0.25">
      <c r="A36" s="56">
        <v>11</v>
      </c>
      <c r="B36" s="69" t="s">
        <v>140</v>
      </c>
      <c r="C36" s="63" t="s">
        <v>161</v>
      </c>
      <c r="D36" s="44" t="s">
        <v>122</v>
      </c>
      <c r="E36" s="36" t="s">
        <v>80</v>
      </c>
      <c r="F36" s="36" t="s">
        <v>98</v>
      </c>
      <c r="G36" s="35"/>
      <c r="H36" s="35" t="s">
        <v>132</v>
      </c>
    </row>
    <row r="37" spans="1:9" ht="17" thickBot="1" x14ac:dyDescent="0.25">
      <c r="A37" s="56">
        <v>12</v>
      </c>
      <c r="B37" s="36" t="s">
        <v>99</v>
      </c>
      <c r="C37" s="64" t="s">
        <v>99</v>
      </c>
      <c r="D37" s="36" t="s">
        <v>122</v>
      </c>
      <c r="E37" s="36" t="s">
        <v>184</v>
      </c>
      <c r="F37" s="36" t="s">
        <v>185</v>
      </c>
      <c r="G37" s="36"/>
      <c r="H37" s="36" t="s">
        <v>110</v>
      </c>
    </row>
    <row r="38" spans="1:9" x14ac:dyDescent="0.2">
      <c r="A38" s="56">
        <v>13</v>
      </c>
      <c r="B38" s="67" t="s">
        <v>141</v>
      </c>
      <c r="C38" s="61" t="s">
        <v>162</v>
      </c>
      <c r="D38" s="44" t="s">
        <v>122</v>
      </c>
      <c r="E38" s="36" t="s">
        <v>52</v>
      </c>
      <c r="F38" s="36" t="s">
        <v>88</v>
      </c>
      <c r="G38" s="36"/>
      <c r="H38" s="36" t="s">
        <v>114</v>
      </c>
    </row>
    <row r="39" spans="1:9" x14ac:dyDescent="0.2">
      <c r="A39" s="56">
        <v>14</v>
      </c>
      <c r="B39" s="67" t="s">
        <v>142</v>
      </c>
      <c r="C39" s="62" t="s">
        <v>163</v>
      </c>
      <c r="D39" s="44" t="s">
        <v>122</v>
      </c>
      <c r="E39" s="36" t="s">
        <v>59</v>
      </c>
      <c r="F39" s="36" t="s">
        <v>88</v>
      </c>
      <c r="G39" s="36"/>
      <c r="H39" s="36" t="s">
        <v>134</v>
      </c>
    </row>
    <row r="40" spans="1:9" ht="17" thickBot="1" x14ac:dyDescent="0.25">
      <c r="A40" s="56">
        <v>15</v>
      </c>
      <c r="B40" s="67" t="s">
        <v>181</v>
      </c>
      <c r="C40" s="63" t="s">
        <v>183</v>
      </c>
      <c r="D40" s="44" t="s">
        <v>122</v>
      </c>
      <c r="E40" s="36" t="s">
        <v>66</v>
      </c>
      <c r="F40" s="36" t="s">
        <v>88</v>
      </c>
      <c r="G40" s="36"/>
      <c r="H40" s="36" t="s">
        <v>182</v>
      </c>
    </row>
    <row r="41" spans="1:9" ht="18" thickBot="1" x14ac:dyDescent="0.25">
      <c r="A41" s="56">
        <v>16</v>
      </c>
      <c r="B41" s="35" t="s">
        <v>126</v>
      </c>
      <c r="C41" s="64" t="s">
        <v>126</v>
      </c>
      <c r="D41" s="36" t="s">
        <v>122</v>
      </c>
      <c r="E41" s="36" t="s">
        <v>188</v>
      </c>
      <c r="F41" s="51" t="s">
        <v>93</v>
      </c>
      <c r="G41" s="35" t="s">
        <v>194</v>
      </c>
      <c r="H41" s="35" t="s">
        <v>112</v>
      </c>
    </row>
    <row r="42" spans="1:9" ht="17" x14ac:dyDescent="0.2">
      <c r="A42" s="56">
        <v>17</v>
      </c>
      <c r="B42" s="68" t="s">
        <v>143</v>
      </c>
      <c r="C42" s="66" t="s">
        <v>164</v>
      </c>
      <c r="D42" s="54" t="s">
        <v>172</v>
      </c>
      <c r="E42" s="39" t="s">
        <v>69</v>
      </c>
      <c r="F42" s="39" t="s">
        <v>93</v>
      </c>
      <c r="G42" s="39" t="s">
        <v>130</v>
      </c>
      <c r="H42" s="39" t="s">
        <v>115</v>
      </c>
    </row>
    <row r="43" spans="1:9" ht="17" x14ac:dyDescent="0.2">
      <c r="A43" s="56">
        <v>18</v>
      </c>
      <c r="B43" s="69" t="s">
        <v>144</v>
      </c>
      <c r="C43" s="62" t="s">
        <v>165</v>
      </c>
      <c r="D43" s="44" t="s">
        <v>122</v>
      </c>
      <c r="E43" s="35" t="s">
        <v>75</v>
      </c>
      <c r="F43" s="36" t="s">
        <v>93</v>
      </c>
      <c r="G43" s="36" t="s">
        <v>131</v>
      </c>
      <c r="H43" s="35" t="s">
        <v>166</v>
      </c>
    </row>
    <row r="44" spans="1:9" ht="18" thickBot="1" x14ac:dyDescent="0.25">
      <c r="A44" s="56">
        <v>19</v>
      </c>
      <c r="B44" s="69" t="s">
        <v>187</v>
      </c>
      <c r="C44" s="63" t="s">
        <v>186</v>
      </c>
      <c r="D44" s="44" t="s">
        <v>122</v>
      </c>
      <c r="E44" s="35" t="s">
        <v>82</v>
      </c>
      <c r="F44" s="36" t="s">
        <v>93</v>
      </c>
      <c r="G44" s="36" t="s">
        <v>173</v>
      </c>
      <c r="H44" s="35" t="s">
        <v>189</v>
      </c>
    </row>
    <row r="45" spans="1:9" ht="17" x14ac:dyDescent="0.2">
      <c r="A45" s="56">
        <v>20</v>
      </c>
      <c r="B45" s="49" t="s">
        <v>127</v>
      </c>
      <c r="C45" s="65" t="s">
        <v>127</v>
      </c>
      <c r="D45" s="49" t="s">
        <v>172</v>
      </c>
      <c r="E45" s="49" t="s">
        <v>54</v>
      </c>
      <c r="F45" s="50">
        <v>-1</v>
      </c>
      <c r="G45" s="49" t="s">
        <v>102</v>
      </c>
      <c r="H45" s="49" t="s">
        <v>114</v>
      </c>
      <c r="I45" s="38" t="s">
        <v>170</v>
      </c>
    </row>
    <row r="46" spans="1:9" ht="17" x14ac:dyDescent="0.2">
      <c r="A46" s="56">
        <v>21</v>
      </c>
      <c r="B46" s="49" t="s">
        <v>128</v>
      </c>
      <c r="C46" s="49" t="s">
        <v>128</v>
      </c>
      <c r="D46" s="49" t="s">
        <v>172</v>
      </c>
      <c r="E46" s="49" t="s">
        <v>71</v>
      </c>
      <c r="F46" s="50">
        <v>1</v>
      </c>
      <c r="G46" s="49"/>
      <c r="H46" s="49" t="s">
        <v>115</v>
      </c>
      <c r="I46" s="42" t="s">
        <v>171</v>
      </c>
    </row>
    <row r="47" spans="1:9" x14ac:dyDescent="0.2">
      <c r="A47" s="56">
        <v>22</v>
      </c>
      <c r="B47" s="36" t="s">
        <v>168</v>
      </c>
      <c r="C47" s="36" t="s">
        <v>168</v>
      </c>
      <c r="D47" s="36" t="s">
        <v>122</v>
      </c>
      <c r="E47" s="36" t="s">
        <v>61</v>
      </c>
      <c r="F47" s="36">
        <v>-1</v>
      </c>
      <c r="G47" s="36"/>
      <c r="H47" s="36" t="s">
        <v>205</v>
      </c>
    </row>
    <row r="48" spans="1:9" x14ac:dyDescent="0.2">
      <c r="A48" s="56">
        <v>23</v>
      </c>
      <c r="B48" s="36" t="s">
        <v>169</v>
      </c>
      <c r="C48" s="36" t="s">
        <v>169</v>
      </c>
      <c r="D48" s="36" t="s">
        <v>122</v>
      </c>
      <c r="E48" s="36" t="s">
        <v>192</v>
      </c>
      <c r="F48" s="36">
        <v>1</v>
      </c>
      <c r="G48" s="36"/>
      <c r="H48" s="36" t="s">
        <v>206</v>
      </c>
    </row>
    <row r="49" spans="1:9" x14ac:dyDescent="0.2">
      <c r="A49" s="56">
        <v>24</v>
      </c>
      <c r="B49" s="36" t="s">
        <v>190</v>
      </c>
      <c r="C49" s="36" t="s">
        <v>190</v>
      </c>
      <c r="D49" s="36" t="s">
        <v>122</v>
      </c>
      <c r="E49" s="36" t="s">
        <v>167</v>
      </c>
      <c r="F49" s="36">
        <v>-1</v>
      </c>
      <c r="G49" s="36"/>
      <c r="H49" s="36" t="s">
        <v>207</v>
      </c>
    </row>
    <row r="50" spans="1:9" x14ac:dyDescent="0.2">
      <c r="A50" s="56">
        <v>25</v>
      </c>
      <c r="B50" s="36" t="s">
        <v>191</v>
      </c>
      <c r="C50" s="36" t="s">
        <v>191</v>
      </c>
      <c r="D50" s="36" t="s">
        <v>122</v>
      </c>
      <c r="E50" s="36" t="s">
        <v>193</v>
      </c>
      <c r="F50" s="36">
        <v>1</v>
      </c>
      <c r="G50" s="36"/>
      <c r="H50" s="36" t="s">
        <v>208</v>
      </c>
    </row>
    <row r="51" spans="1:9" ht="17" x14ac:dyDescent="0.2">
      <c r="A51" s="56">
        <v>26</v>
      </c>
      <c r="B51" s="53" t="s">
        <v>127</v>
      </c>
      <c r="C51" s="53" t="s">
        <v>127</v>
      </c>
      <c r="D51" s="53" t="s">
        <v>172</v>
      </c>
      <c r="E51" s="53" t="s">
        <v>196</v>
      </c>
      <c r="F51" s="70" t="s">
        <v>220</v>
      </c>
      <c r="G51" s="53" t="s">
        <v>102</v>
      </c>
      <c r="H51" s="53" t="s">
        <v>114</v>
      </c>
      <c r="I51" s="52" t="s">
        <v>197</v>
      </c>
    </row>
    <row r="52" spans="1:9" ht="17" x14ac:dyDescent="0.2">
      <c r="A52" s="56">
        <v>27</v>
      </c>
      <c r="B52" s="53" t="s">
        <v>128</v>
      </c>
      <c r="C52" s="53" t="s">
        <v>128</v>
      </c>
      <c r="D52" s="53" t="s">
        <v>172</v>
      </c>
      <c r="E52" s="53" t="s">
        <v>195</v>
      </c>
      <c r="F52" s="70" t="s">
        <v>221</v>
      </c>
      <c r="G52" s="53"/>
      <c r="H52" s="53" t="s">
        <v>115</v>
      </c>
      <c r="I52" s="52" t="s">
        <v>198</v>
      </c>
    </row>
    <row r="53" spans="1:9" x14ac:dyDescent="0.2">
      <c r="A53" s="56">
        <v>28</v>
      </c>
      <c r="B53" s="32" t="s">
        <v>210</v>
      </c>
      <c r="C53" s="32" t="s">
        <v>214</v>
      </c>
      <c r="D53" s="36" t="s">
        <v>122</v>
      </c>
      <c r="E53" s="32" t="s">
        <v>200</v>
      </c>
      <c r="F53" s="32">
        <v>-1</v>
      </c>
      <c r="G53" s="32"/>
      <c r="H53" s="32" t="s">
        <v>218</v>
      </c>
    </row>
    <row r="54" spans="1:9" x14ac:dyDescent="0.2">
      <c r="A54" s="56">
        <v>29</v>
      </c>
      <c r="B54" s="32" t="s">
        <v>211</v>
      </c>
      <c r="C54" s="32" t="s">
        <v>216</v>
      </c>
      <c r="D54" s="36" t="s">
        <v>122</v>
      </c>
      <c r="E54" s="32" t="s">
        <v>201</v>
      </c>
      <c r="F54" s="32">
        <v>0</v>
      </c>
      <c r="G54" s="32"/>
      <c r="H54" s="32" t="s">
        <v>219</v>
      </c>
    </row>
    <row r="55" spans="1:9" x14ac:dyDescent="0.2">
      <c r="A55" s="56">
        <v>30</v>
      </c>
      <c r="B55" s="32" t="s">
        <v>212</v>
      </c>
      <c r="C55" s="32" t="s">
        <v>215</v>
      </c>
      <c r="D55" s="36" t="s">
        <v>122</v>
      </c>
      <c r="E55" s="32" t="s">
        <v>202</v>
      </c>
      <c r="F55" s="32">
        <v>0</v>
      </c>
      <c r="G55" s="32"/>
      <c r="H55" s="32" t="s">
        <v>117</v>
      </c>
    </row>
    <row r="56" spans="1:9" x14ac:dyDescent="0.2">
      <c r="A56" s="56">
        <v>31</v>
      </c>
      <c r="B56" s="32" t="s">
        <v>213</v>
      </c>
      <c r="C56" s="32" t="s">
        <v>217</v>
      </c>
      <c r="D56" s="36" t="s">
        <v>122</v>
      </c>
      <c r="E56" s="32" t="s">
        <v>203</v>
      </c>
      <c r="F56" s="32">
        <v>1</v>
      </c>
      <c r="G56" s="32"/>
      <c r="H56" s="32" t="s">
        <v>166</v>
      </c>
    </row>
    <row r="57" spans="1:9" x14ac:dyDescent="0.2">
      <c r="A57" s="55"/>
      <c r="B57" s="48" t="s">
        <v>199</v>
      </c>
      <c r="C57" s="39" t="s">
        <v>199</v>
      </c>
      <c r="D57" s="39" t="s">
        <v>172</v>
      </c>
      <c r="E57" s="39" t="s">
        <v>179</v>
      </c>
      <c r="F57" s="39">
        <v>0</v>
      </c>
      <c r="G57" s="39">
        <v>0</v>
      </c>
      <c r="H57" s="37"/>
      <c r="I57" t="s">
        <v>180</v>
      </c>
    </row>
    <row r="58" spans="1:9" x14ac:dyDescent="0.2">
      <c r="A58" s="57"/>
      <c r="B58" s="43"/>
      <c r="C58" s="58"/>
      <c r="D58" s="59"/>
      <c r="E58" s="59"/>
      <c r="F58" s="59"/>
      <c r="G58" s="59"/>
      <c r="H58" s="58"/>
    </row>
    <row r="59" spans="1:9" x14ac:dyDescent="0.2">
      <c r="B59" t="s">
        <v>118</v>
      </c>
    </row>
    <row r="61" spans="1:9" x14ac:dyDescent="0.2">
      <c r="B61" t="s">
        <v>124</v>
      </c>
    </row>
    <row r="62" spans="1:9" x14ac:dyDescent="0.2">
      <c r="I62">
        <f>FACT(8)</f>
        <v>40320</v>
      </c>
    </row>
    <row r="63" spans="1:9" x14ac:dyDescent="0.2">
      <c r="B63" s="30" t="s">
        <v>125</v>
      </c>
      <c r="C63" s="30"/>
      <c r="D63" s="30"/>
    </row>
    <row r="65" spans="2:2" x14ac:dyDescent="0.2">
      <c r="B65" t="s">
        <v>148</v>
      </c>
    </row>
  </sheetData>
  <mergeCells count="4">
    <mergeCell ref="B3:B4"/>
    <mergeCell ref="D3:D4"/>
    <mergeCell ref="E3:E4"/>
    <mergeCell ref="G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Nuclear Mass</vt:lpstr>
      <vt:lpstr>Lorentz</vt:lpstr>
      <vt:lpstr>Sheet3</vt:lpstr>
      <vt:lpstr>wave energy</vt:lpstr>
      <vt:lpstr>koide</vt:lpstr>
      <vt:lpstr>current zoo</vt:lpstr>
      <vt:lpstr>Sheet1</vt:lpstr>
      <vt:lpstr>Sheet2</vt:lpstr>
      <vt:lpstr>human s-t</vt:lpstr>
      <vt:lpstr>old zoos</vt:lpstr>
      <vt:lpstr>h</vt:lpstr>
      <vt:lpstr>hd</vt:lpstr>
      <vt:lpstr>hu</vt:lpstr>
      <vt:lpstr>ld</vt:lpstr>
      <vt:lpstr>lu</vt:lpstr>
      <vt:lpstr>n</vt:lpstr>
      <vt:lpstr>p</vt:lpstr>
      <vt:lpstr>planckl</vt:lpstr>
      <vt:lpstr>sol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Morris</dc:creator>
  <cp:lastModifiedBy>Mark Morris</cp:lastModifiedBy>
  <dcterms:created xsi:type="dcterms:W3CDTF">2018-02-20T06:38:47Z</dcterms:created>
  <dcterms:modified xsi:type="dcterms:W3CDTF">2019-05-23T20:31:03Z</dcterms:modified>
</cp:coreProperties>
</file>